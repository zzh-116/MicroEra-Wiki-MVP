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S:\MiqroEra_lgx\My_projects\Chem-Lab\MOFs\MOF_VOCs-water\成本核算_合成\"/>
    </mc:Choice>
  </mc:AlternateContent>
  <xr:revisionPtr revIDLastSave="0" documentId="13_ncr:1_{A75EF57C-69D4-47D8-AE3A-8EBC22032261}" xr6:coauthVersionLast="36" xr6:coauthVersionMax="36" xr10:uidLastSave="{00000000-0000-0000-0000-000000000000}"/>
  <bookViews>
    <workbookView xWindow="0" yWindow="0" windowWidth="0" windowHeight="17120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L2" i="2" l="1"/>
  <c r="O4" i="1"/>
  <c r="H3" i="2"/>
  <c r="H4" i="2"/>
  <c r="H2" i="2"/>
  <c r="I4" i="1"/>
  <c r="I6" i="1" l="1"/>
  <c r="K6" i="1"/>
  <c r="M4" i="1"/>
  <c r="P12" i="1" l="1"/>
  <c r="P8" i="1"/>
  <c r="K9" i="1" l="1"/>
  <c r="O8" i="1"/>
  <c r="P19" i="1"/>
  <c r="P16" i="1"/>
  <c r="K22" i="1"/>
  <c r="K21" i="1"/>
  <c r="K20" i="1"/>
  <c r="K19" i="1"/>
  <c r="K18" i="1"/>
  <c r="K17" i="1"/>
  <c r="K16" i="1"/>
  <c r="K14" i="1"/>
  <c r="K13" i="1"/>
  <c r="K12" i="1"/>
  <c r="K10" i="1"/>
  <c r="K8" i="1"/>
  <c r="K7" i="1"/>
  <c r="K5" i="1"/>
  <c r="K4" i="1"/>
  <c r="P4" i="1" l="1"/>
  <c r="I22" i="1"/>
  <c r="I21" i="1"/>
  <c r="I20" i="1"/>
  <c r="N19" i="1"/>
  <c r="I19" i="1"/>
  <c r="O19" i="1" s="1"/>
  <c r="I18" i="1"/>
  <c r="E18" i="1"/>
  <c r="I17" i="1"/>
  <c r="N16" i="1"/>
  <c r="I16" i="1"/>
  <c r="O16" i="1" s="1"/>
  <c r="I14" i="1"/>
  <c r="I13" i="1"/>
  <c r="M12" i="1"/>
  <c r="I12" i="1"/>
  <c r="O12" i="1" s="1"/>
  <c r="I10" i="1"/>
  <c r="I9" i="1"/>
  <c r="U8" i="1"/>
  <c r="M8" i="1"/>
  <c r="I8" i="1"/>
  <c r="I7" i="1"/>
  <c r="E6" i="1"/>
  <c r="I5" i="1"/>
</calcChain>
</file>

<file path=xl/sharedStrings.xml><?xml version="1.0" encoding="utf-8"?>
<sst xmlns="http://schemas.openxmlformats.org/spreadsheetml/2006/main" count="176" uniqueCount="134">
  <si>
    <t>注意：洗涤用的，如纯水、甲醇等，未在此计入</t>
  </si>
  <si>
    <t>MOF</t>
  </si>
  <si>
    <t>原料</t>
  </si>
  <si>
    <t>化学式</t>
  </si>
  <si>
    <t>CAS</t>
  </si>
  <si>
    <t>纯度</t>
  </si>
  <si>
    <t>厂商</t>
  </si>
  <si>
    <t>售价/规格</t>
  </si>
  <si>
    <t>单位价格
(¥)</t>
  </si>
  <si>
    <t>用量
(g-ml)</t>
  </si>
  <si>
    <t>产率(%)</t>
  </si>
  <si>
    <t>产量(g)</t>
  </si>
  <si>
    <t>成本(¥/g)</t>
  </si>
  <si>
    <t>优化方向</t>
  </si>
  <si>
    <t>参考文献</t>
  </si>
  <si>
    <t>富马酸（反丁烯二酸）</t>
  </si>
  <si>
    <r>
      <rPr>
        <sz val="9"/>
        <color theme="1"/>
        <rFont val="华文仿宋"/>
        <family val="3"/>
        <charset val="134"/>
      </rPr>
      <t>C</t>
    </r>
    <r>
      <rPr>
        <vertAlign val="subscript"/>
        <sz val="9"/>
        <color theme="1"/>
        <rFont val="华文仿宋"/>
        <family val="3"/>
        <charset val="134"/>
      </rPr>
      <t>4</t>
    </r>
    <r>
      <rPr>
        <sz val="9"/>
        <color theme="1"/>
        <rFont val="华文仿宋"/>
        <family val="3"/>
        <charset val="134"/>
      </rPr>
      <t>H</t>
    </r>
    <r>
      <rPr>
        <vertAlign val="subscript"/>
        <sz val="9"/>
        <color theme="1"/>
        <rFont val="华文仿宋"/>
        <family val="3"/>
        <charset val="134"/>
      </rPr>
      <t>4</t>
    </r>
    <r>
      <rPr>
        <sz val="9"/>
        <color theme="1"/>
        <rFont val="华文仿宋"/>
        <family val="3"/>
        <charset val="134"/>
      </rPr>
      <t>O</t>
    </r>
    <r>
      <rPr>
        <vertAlign val="subscript"/>
        <sz val="9"/>
        <color theme="1"/>
        <rFont val="华文仿宋"/>
        <family val="3"/>
        <charset val="134"/>
      </rPr>
      <t>4</t>
    </r>
  </si>
  <si>
    <t>110-17-8</t>
  </si>
  <si>
    <t>麦克林</t>
  </si>
  <si>
    <t>¥26.95/100g</t>
  </si>
  <si>
    <t>八水合氧氯化锆</t>
  </si>
  <si>
    <r>
      <rPr>
        <sz val="9"/>
        <color theme="1"/>
        <rFont val="华文仿宋"/>
        <family val="3"/>
        <charset val="134"/>
      </rPr>
      <t>ZrOCl</t>
    </r>
    <r>
      <rPr>
        <vertAlign val="subscript"/>
        <sz val="9"/>
        <color theme="1"/>
        <rFont val="华文仿宋"/>
        <family val="3"/>
        <charset val="134"/>
      </rPr>
      <t>2</t>
    </r>
    <r>
      <rPr>
        <sz val="9"/>
        <color theme="1"/>
        <rFont val="华文仿宋"/>
        <family val="3"/>
        <charset val="134"/>
      </rPr>
      <t>·8H</t>
    </r>
    <r>
      <rPr>
        <vertAlign val="subscript"/>
        <sz val="9"/>
        <color theme="1"/>
        <rFont val="华文仿宋"/>
        <family val="3"/>
        <charset val="134"/>
      </rPr>
      <t>2</t>
    </r>
    <r>
      <rPr>
        <sz val="9"/>
        <color theme="1"/>
        <rFont val="华文仿宋"/>
        <family val="3"/>
        <charset val="134"/>
      </rPr>
      <t>O</t>
    </r>
  </si>
  <si>
    <t>13520-92-8</t>
  </si>
  <si>
    <t>99.9% metals basis</t>
  </si>
  <si>
    <t>¥202.95/250g</t>
  </si>
  <si>
    <t>N,N-二甲基甲酰胺</t>
  </si>
  <si>
    <r>
      <rPr>
        <sz val="9"/>
        <color theme="1"/>
        <rFont val="华文仿宋"/>
        <family val="3"/>
        <charset val="134"/>
      </rPr>
      <t>C</t>
    </r>
    <r>
      <rPr>
        <vertAlign val="subscript"/>
        <sz val="9"/>
        <color theme="1"/>
        <rFont val="华文仿宋"/>
        <family val="3"/>
        <charset val="134"/>
      </rPr>
      <t>3</t>
    </r>
    <r>
      <rPr>
        <sz val="9"/>
        <color theme="1"/>
        <rFont val="华文仿宋"/>
        <family val="3"/>
        <charset val="134"/>
      </rPr>
      <t>H</t>
    </r>
    <r>
      <rPr>
        <vertAlign val="subscript"/>
        <sz val="9"/>
        <color theme="1"/>
        <rFont val="华文仿宋"/>
        <family val="3"/>
        <charset val="134"/>
      </rPr>
      <t>7</t>
    </r>
    <r>
      <rPr>
        <sz val="9"/>
        <color theme="1"/>
        <rFont val="华文仿宋"/>
        <family val="3"/>
        <charset val="134"/>
      </rPr>
      <t>NO</t>
    </r>
  </si>
  <si>
    <t>&gt;99.9% (GC)</t>
  </si>
  <si>
    <t>¥37.40/500ml</t>
  </si>
  <si>
    <t>甲酸</t>
  </si>
  <si>
    <t>HCOOH</t>
  </si>
  <si>
    <t>64-18-6</t>
  </si>
  <si>
    <t>for HPLC, ≥99%</t>
  </si>
  <si>
    <t>¥148.50/100ml</t>
  </si>
  <si>
    <t>C5H4N2O4· H2O</t>
  </si>
  <si>
    <t>≥ 97%</t>
  </si>
  <si>
    <t>阿拉丁</t>
  </si>
  <si>
    <t>用H2FDC替换原来的配体H2PZDC，
能构建与MOF-303同构型的MOF-333</t>
  </si>
  <si>
    <t>≥ 98%</t>
  </si>
  <si>
    <t>¥59.9/25g</t>
  </si>
  <si>
    <t>https://mp.weixin.qq.com/s/VdxqQ7JpBiWP99fKRsVISw</t>
  </si>
  <si>
    <t>AlCl3·6H2O</t>
  </si>
  <si>
    <t>¥94.60/100g</t>
  </si>
  <si>
    <t>氢氧化钠</t>
  </si>
  <si>
    <t>NaOH</t>
  </si>
  <si>
    <t>¥103.40/500g</t>
  </si>
  <si>
    <t>超纯水</t>
  </si>
  <si>
    <t>H2O</t>
  </si>
  <si>
    <t>-</t>
  </si>
  <si>
    <r>
      <rPr>
        <sz val="9"/>
        <color theme="1"/>
        <rFont val="华文仿宋"/>
        <family val="3"/>
        <charset val="134"/>
      </rPr>
      <t>≥ 18 M</t>
    </r>
    <r>
      <rPr>
        <sz val="9"/>
        <color theme="1"/>
        <rFont val="华文仿宋"/>
        <family val="3"/>
        <charset val="134"/>
      </rPr>
      <t>Ω</t>
    </r>
  </si>
  <si>
    <t>Milli-Q净水系统</t>
  </si>
  <si>
    <t>硝酸铬(III)九水合物[Cr(NO3)3·9H2O]</t>
  </si>
  <si>
    <t>AR, 99%</t>
  </si>
  <si>
    <t>上海麦克林生化科技有限公司</t>
  </si>
  <si>
    <t>¥28.05/500 g</t>
  </si>
  <si>
    <t>对苯二甲酸（H2BDS）</t>
  </si>
  <si>
    <t>上海源叶生物科技有限公司</t>
  </si>
  <si>
    <t>¥29.60/100 g</t>
  </si>
  <si>
    <t>氢氟酸（HF）</t>
  </si>
  <si>
    <t>AR, 40%</t>
  </si>
  <si>
    <t>¥26.95/500 ml</t>
  </si>
  <si>
    <t>高纯水（H2O）</t>
  </si>
  <si>
    <t>四氯化锆（ZrCl4）</t>
  </si>
  <si>
    <t>10026-11-6</t>
  </si>
  <si>
    <t>99.5%；hafnium chloride&lt;50ppm</t>
  </si>
  <si>
    <t>¥81.95/25g</t>
  </si>
  <si>
    <t>对苯二甲酸（H2BDC）</t>
  </si>
  <si>
    <t>100-21-0</t>
  </si>
  <si>
    <t>¥27.5/100g</t>
  </si>
  <si>
    <t>N,N-二甲基甲酰（DMF）</t>
  </si>
  <si>
    <t>99.9%（GC）</t>
  </si>
  <si>
    <t>¥37.4/500ml</t>
  </si>
  <si>
    <t>醋酸钴四水合物</t>
  </si>
  <si>
    <r>
      <rPr>
        <sz val="9"/>
        <color rgb="FF000000"/>
        <rFont val="华文仿宋"/>
        <family val="3"/>
        <charset val="134"/>
      </rPr>
      <t>Co(OAc)</t>
    </r>
    <r>
      <rPr>
        <sz val="9"/>
        <color rgb="FF000000"/>
        <rFont val="Times New Roman"/>
        <family val="1"/>
      </rPr>
      <t>₂</t>
    </r>
    <r>
      <rPr>
        <sz val="9"/>
        <color rgb="FF000000"/>
        <rFont val="华文仿宋"/>
        <family val="3"/>
        <charset val="134"/>
      </rPr>
      <t>·4H</t>
    </r>
    <r>
      <rPr>
        <sz val="9"/>
        <color rgb="FF000000"/>
        <rFont val="Times New Roman"/>
        <family val="1"/>
      </rPr>
      <t>₂</t>
    </r>
    <r>
      <rPr>
        <sz val="9"/>
        <color rgb="FF000000"/>
        <rFont val="华文仿宋"/>
        <family val="3"/>
        <charset val="134"/>
      </rPr>
      <t>O</t>
    </r>
  </si>
  <si>
    <t>6147-53-1</t>
  </si>
  <si>
    <t>AR, 99.5%</t>
  </si>
  <si>
    <t>¥284/500g</t>
  </si>
  <si>
    <t>氢氧化钾</t>
  </si>
  <si>
    <t>KOH</t>
  </si>
  <si>
    <t>1310-58-3</t>
  </si>
  <si>
    <t>¥60/500g</t>
  </si>
  <si>
    <t>一水柠檬酸</t>
  </si>
  <si>
    <r>
      <rPr>
        <sz val="9"/>
        <color rgb="FF000000"/>
        <rFont val="华文仿宋"/>
        <family val="3"/>
        <charset val="134"/>
      </rPr>
      <t>C₆H₈O₇·H</t>
    </r>
    <r>
      <rPr>
        <sz val="9"/>
        <color rgb="FF000000"/>
        <rFont val="Times New Roman"/>
        <family val="1"/>
      </rPr>
      <t>₂</t>
    </r>
    <r>
      <rPr>
        <sz val="9"/>
        <color rgb="FF000000"/>
        <rFont val="华文仿宋"/>
        <family val="3"/>
        <charset val="134"/>
      </rPr>
      <t>O</t>
    </r>
  </si>
  <si>
    <t>5949-29-1</t>
  </si>
  <si>
    <t>乙醇</t>
  </si>
  <si>
    <r>
      <rPr>
        <sz val="9"/>
        <color rgb="FF000000"/>
        <rFont val="华文仿宋"/>
        <family val="3"/>
        <charset val="134"/>
      </rPr>
      <t>C</t>
    </r>
    <r>
      <rPr>
        <sz val="9"/>
        <color rgb="FF000000"/>
        <rFont val="Times New Roman"/>
        <family val="1"/>
      </rPr>
      <t>₂</t>
    </r>
    <r>
      <rPr>
        <sz val="9"/>
        <color rgb="FF000000"/>
        <rFont val="华文仿宋"/>
        <family val="3"/>
        <charset val="134"/>
      </rPr>
      <t>H₅OH</t>
    </r>
  </si>
  <si>
    <t>64-17-5</t>
  </si>
  <si>
    <t>ACS, ≥99.5%</t>
  </si>
  <si>
    <t>¥80/500ml</t>
  </si>
  <si>
    <t>MOF-303
(捕水)</t>
    <phoneticPr fontId="11" type="noConversion"/>
  </si>
  <si>
    <t>303180-11-2</t>
    <phoneticPr fontId="11" type="noConversion"/>
  </si>
  <si>
    <t>厂商</t>
    <phoneticPr fontId="11" type="noConversion"/>
  </si>
  <si>
    <t>纯度</t>
    <phoneticPr fontId="11" type="noConversion"/>
  </si>
  <si>
    <t>¥149.03/25g</t>
    <phoneticPr fontId="11" type="noConversion"/>
  </si>
  <si>
    <t>单位价格-大宗
(¥)</t>
    <phoneticPr fontId="11" type="noConversion"/>
  </si>
  <si>
    <t>成本(¥/g)-大宗</t>
    <phoneticPr fontId="11" type="noConversion"/>
  </si>
  <si>
    <t>7784-13-6</t>
    <phoneticPr fontId="11" type="noConversion"/>
  </si>
  <si>
    <t>1310-73-2</t>
    <phoneticPr fontId="11" type="noConversion"/>
  </si>
  <si>
    <t>3,5-吡唑二羧酸一水合物</t>
    <phoneticPr fontId="11" type="noConversion"/>
  </si>
  <si>
    <r>
      <t>1.已有连续流的合成专利，2025.04.23“矿化剂为氢氟酸、苯甲酸、乙酸、2</t>
    </r>
    <r>
      <rPr>
        <sz val="12"/>
        <color theme="1"/>
        <rFont val="Tahoma"/>
        <family val="2"/>
      </rPr>
      <t>‑</t>
    </r>
    <r>
      <rPr>
        <sz val="12"/>
        <color theme="1"/>
        <rFont val="华文仿宋"/>
        <family val="3"/>
        <charset val="134"/>
      </rPr>
      <t>甲基咪唑、醋酸钠中的一种或几种”https://pat.daweisoft.com/detail?AN=CN202510516345.0&amp;PNM=CN120309962A&amp;CC=CN&amp;pageNum=1&amp;specialIndex=1</t>
    </r>
    <r>
      <rPr>
        <sz val="12"/>
        <color theme="1"/>
        <rFont val="华文仿宋"/>
        <family val="3"/>
        <charset val="134"/>
      </rPr>
      <t xml:space="preserve">
2.已有机械化学法的合成专利， 2019.03.15，球磨机，https://pat.daweisoft.com/detail?AN=CN201910199554.1&amp;PNM=CN111686694B&amp;CC=CN&amp;pageNum=1&amp;specialIndex=1</t>
    </r>
    <phoneticPr fontId="11" type="noConversion"/>
  </si>
  <si>
    <t>氯化铝六水合物</t>
    <phoneticPr fontId="11" type="noConversion"/>
  </si>
  <si>
    <t>¥740000.00/800000g</t>
    <phoneticPr fontId="11" type="noConversion"/>
  </si>
  <si>
    <t>¥24000.00/900000g</t>
    <phoneticPr fontId="11" type="noConversion"/>
  </si>
  <si>
    <t>¥590.00/25000g</t>
    <phoneticPr fontId="11" type="noConversion"/>
  </si>
  <si>
    <t>¥7000.00/300000g</t>
    <phoneticPr fontId="11" type="noConversion"/>
  </si>
  <si>
    <t>¥20000.00/600000g</t>
    <phoneticPr fontId="11" type="noConversion"/>
  </si>
  <si>
    <t>¥9900.00/1000000g</t>
    <phoneticPr fontId="11" type="noConversion"/>
  </si>
  <si>
    <t>¥16000.00/1000000g</t>
    <phoneticPr fontId="11" type="noConversion"/>
  </si>
  <si>
    <t>¥8000.00/500000g</t>
    <phoneticPr fontId="11" type="noConversion"/>
  </si>
  <si>
    <t>¥27000.00/900000g</t>
    <phoneticPr fontId="11" type="noConversion"/>
  </si>
  <si>
    <t>¥2500.00/10000g</t>
    <phoneticPr fontId="11" type="noConversion"/>
  </si>
  <si>
    <t>售价/规格-大宗（泰坦报价）</t>
    <phoneticPr fontId="11" type="noConversion"/>
  </si>
  <si>
    <t>暂无连续流和机械化学方法的专利；有连续水热的文献，无微流法合成的相关文献</t>
    <phoneticPr fontId="11" type="noConversion"/>
  </si>
  <si>
    <t xml:space="preserve">1.已有连续流的合成专利，2024.09.12 （南京工业大学）https://pat.daweisoft.com/detail?AN=CN202411275608.5&amp;PNM=CN118930896A&amp;CC=CN&amp;pageNum=1&amp;specialIndex=1；
</t>
    <phoneticPr fontId="11" type="noConversion"/>
  </si>
  <si>
    <t>MOF-801
（捕水-巧伟老师建议）</t>
  </si>
  <si>
    <t xml:space="preserve">MIL-101
（捕水-巧伟老师建议）
</t>
  </si>
  <si>
    <t>UiO-66
（捕水/吸附VOCs-巧伟老师建议）
【目前连续流的研究比较成熟】</t>
  </si>
  <si>
    <t>UTSA-16
（吸附VOCs-巧伟老师建议）</t>
  </si>
  <si>
    <t>CALF20</t>
    <phoneticPr fontId="11" type="noConversion"/>
  </si>
  <si>
    <t>草酸锌</t>
    <phoneticPr fontId="11" type="noConversion"/>
  </si>
  <si>
    <t>甲醇</t>
    <phoneticPr fontId="11" type="noConversion"/>
  </si>
  <si>
    <t>麦克林</t>
    <phoneticPr fontId="11" type="noConversion"/>
  </si>
  <si>
    <t>1,2,4-三氮唑</t>
    <phoneticPr fontId="11" type="noConversion"/>
  </si>
  <si>
    <t>288-88-0</t>
    <phoneticPr fontId="11" type="noConversion"/>
  </si>
  <si>
    <t>¥825/500g</t>
    <phoneticPr fontId="11" type="noConversion"/>
  </si>
  <si>
    <t>C2H3N3</t>
    <phoneticPr fontId="11" type="noConversion"/>
  </si>
  <si>
    <t>547-68-2</t>
    <phoneticPr fontId="11" type="noConversion"/>
  </si>
  <si>
    <t>¥2,999.90/500g</t>
    <phoneticPr fontId="11" type="noConversion"/>
  </si>
  <si>
    <t>阿拉丁</t>
    <phoneticPr fontId="11" type="noConversion"/>
  </si>
  <si>
    <t xml:space="preserve">ZnC2O4 · xH2O </t>
    <phoneticPr fontId="11" type="noConversion"/>
  </si>
  <si>
    <t>67-56-1</t>
    <phoneticPr fontId="11" type="noConversion"/>
  </si>
  <si>
    <t>¥69/500ml</t>
    <phoneticPr fontId="11" type="noConversion"/>
  </si>
  <si>
    <t>CG2O</t>
  </si>
  <si>
    <t>BASF的成本为29美元/kg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</si>
</sst>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%"/>
    <numFmt numFmtId="178" formatCode="0.00_ "/>
  </numFmts>
  <fonts count="17" x14ac:knownFonts="1">
    <font>
      <sz val="12"/>
      <color theme="1"/>
      <name val="华文仿宋"/>
      <charset val="134"/>
    </font>
    <font>
      <sz val="11"/>
      <color theme="1"/>
      <name val="华文仿宋"/>
      <family val="3"/>
      <charset val="134"/>
    </font>
    <font>
      <sz val="12"/>
      <color rgb="FFFF0000"/>
      <name val="华文仿宋"/>
      <family val="3"/>
      <charset val="134"/>
    </font>
    <font>
      <b/>
      <sz val="11"/>
      <color theme="1"/>
      <name val="华文仿宋"/>
      <family val="3"/>
      <charset val="134"/>
    </font>
    <font>
      <sz val="9"/>
      <color theme="1"/>
      <name val="华文仿宋"/>
      <family val="3"/>
      <charset val="134"/>
    </font>
    <font>
      <sz val="9"/>
      <name val="华文仿宋"/>
      <family val="3"/>
      <charset val="134"/>
    </font>
    <font>
      <sz val="9"/>
      <color rgb="FF000000"/>
      <name val="华文仿宋"/>
      <family val="3"/>
      <charset val="134"/>
    </font>
    <font>
      <sz val="9"/>
      <color rgb="FF00B050"/>
      <name val="华文仿宋"/>
      <family val="3"/>
      <charset val="134"/>
    </font>
    <font>
      <sz val="8"/>
      <color theme="1"/>
      <name val="华文仿宋"/>
      <family val="3"/>
      <charset val="134"/>
    </font>
    <font>
      <vertAlign val="subscript"/>
      <sz val="9"/>
      <color theme="1"/>
      <name val="华文仿宋"/>
      <family val="3"/>
      <charset val="134"/>
    </font>
    <font>
      <sz val="9"/>
      <color rgb="FF000000"/>
      <name val="Times New Roman"/>
      <family val="1"/>
    </font>
    <font>
      <sz val="9"/>
      <name val="华文仿宋"/>
      <family val="3"/>
      <charset val="134"/>
    </font>
    <font>
      <sz val="11"/>
      <color theme="1"/>
      <name val="华文仿宋"/>
      <family val="3"/>
      <charset val="134"/>
    </font>
    <font>
      <sz val="12"/>
      <color theme="1"/>
      <name val="Tahoma"/>
      <family val="2"/>
    </font>
    <font>
      <sz val="12"/>
      <color theme="1"/>
      <name val="华文仿宋"/>
      <family val="3"/>
      <charset val="134"/>
    </font>
    <font>
      <b/>
      <sz val="12"/>
      <color theme="5" tint="-0.249977111117893"/>
      <name val="华文仿宋"/>
      <family val="3"/>
      <charset val="134"/>
    </font>
    <font>
      <sz val="9"/>
      <color rgb="FFFF0000"/>
      <name val="华文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9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9" fontId="6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Border="1" applyAlignment="1">
      <alignment horizontal="center" vertical="center" wrapText="1"/>
    </xf>
    <xf numFmtId="176" fontId="3" fillId="2" borderId="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p.weixin.qq.com/s/VdxqQ7JpBiWP99fKRsVI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2"/>
  <sheetViews>
    <sheetView zoomScale="130" zoomScaleNormal="130" workbookViewId="0">
      <pane xSplit="2" ySplit="3" topLeftCell="I4" activePane="bottomRight" state="frozen"/>
      <selection pane="topRight" activeCell="B1" sqref="B1"/>
      <selection pane="bottomLeft" activeCell="A4" sqref="A4"/>
      <selection pane="bottomRight" activeCell="O8" sqref="O8:O11"/>
    </sheetView>
  </sheetViews>
  <sheetFormatPr defaultColWidth="8.7265625" defaultRowHeight="16.5" x14ac:dyDescent="0.4"/>
  <cols>
    <col min="1" max="1" width="50.7265625" style="5" customWidth="1"/>
    <col min="2" max="2" width="52.36328125" style="2" customWidth="1"/>
    <col min="3" max="3" width="26.1796875" style="3" customWidth="1"/>
    <col min="4" max="4" width="12.90625" style="3" customWidth="1"/>
    <col min="5" max="5" width="8.81640625" style="3" customWidth="1"/>
    <col min="6" max="6" width="8.453125" style="3" customWidth="1"/>
    <col min="7" max="7" width="8.54296875" style="3" customWidth="1"/>
    <col min="8" max="8" width="14.81640625" style="2" customWidth="1"/>
    <col min="9" max="9" width="12.08984375" style="2" customWidth="1"/>
    <col min="10" max="10" width="27.453125" style="2" customWidth="1"/>
    <col min="11" max="11" width="16.81640625" style="2" customWidth="1"/>
    <col min="12" max="12" width="15.26953125" style="2" customWidth="1"/>
    <col min="13" max="14" width="10" style="2" customWidth="1"/>
    <col min="15" max="15" width="14.36328125" style="4" customWidth="1"/>
    <col min="16" max="16" width="17.36328125" style="4" customWidth="1"/>
    <col min="17" max="17" width="11.6328125" style="5" customWidth="1"/>
    <col min="18" max="18" width="10.1796875" style="5" customWidth="1"/>
    <col min="19" max="20" width="8.7265625" style="5"/>
    <col min="21" max="21" width="11.7265625" style="5" customWidth="1"/>
    <col min="22" max="22" width="17.36328125" style="5" customWidth="1"/>
    <col min="23" max="16384" width="8.7265625" style="5"/>
  </cols>
  <sheetData>
    <row r="1" spans="1:22" x14ac:dyDescent="0.4"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22" x14ac:dyDescent="0.4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22" s="1" customFormat="1" ht="33" customHeight="1" x14ac:dyDescent="0.4">
      <c r="B3" s="6" t="s">
        <v>1</v>
      </c>
      <c r="C3" s="6" t="s">
        <v>2</v>
      </c>
      <c r="D3" s="6" t="s">
        <v>3</v>
      </c>
      <c r="E3" s="6" t="s">
        <v>4</v>
      </c>
      <c r="F3" s="6" t="s">
        <v>92</v>
      </c>
      <c r="G3" s="6" t="s">
        <v>91</v>
      </c>
      <c r="H3" s="6" t="s">
        <v>7</v>
      </c>
      <c r="I3" s="7" t="s">
        <v>8</v>
      </c>
      <c r="J3" s="7" t="s">
        <v>111</v>
      </c>
      <c r="K3" s="7" t="s">
        <v>94</v>
      </c>
      <c r="L3" s="7" t="s">
        <v>9</v>
      </c>
      <c r="M3" s="6" t="s">
        <v>10</v>
      </c>
      <c r="N3" s="6" t="s">
        <v>11</v>
      </c>
      <c r="O3" s="16" t="s">
        <v>12</v>
      </c>
      <c r="P3" s="16" t="s">
        <v>95</v>
      </c>
      <c r="Q3" s="17" t="s">
        <v>13</v>
      </c>
      <c r="R3" s="18" t="s">
        <v>5</v>
      </c>
      <c r="S3" s="18" t="s">
        <v>6</v>
      </c>
      <c r="T3" s="18" t="s">
        <v>7</v>
      </c>
      <c r="U3" s="21" t="s">
        <v>8</v>
      </c>
      <c r="V3" s="21" t="s">
        <v>14</v>
      </c>
    </row>
    <row r="4" spans="1:22" x14ac:dyDescent="0.4">
      <c r="A4" s="41" t="s">
        <v>112</v>
      </c>
      <c r="B4" s="31" t="s">
        <v>114</v>
      </c>
      <c r="C4" s="8" t="s">
        <v>15</v>
      </c>
      <c r="D4" s="8" t="s">
        <v>16</v>
      </c>
      <c r="E4" s="8" t="s">
        <v>17</v>
      </c>
      <c r="F4" s="8">
        <v>0.995</v>
      </c>
      <c r="G4" s="8" t="s">
        <v>18</v>
      </c>
      <c r="H4" s="8" t="s">
        <v>19</v>
      </c>
      <c r="I4" s="9">
        <f>VALUE(SUBSTITUTE(MID(H4,FIND("¥",H4)+1,FIND("/",H4)-FIND("¥",H4)-1)," ",""))/VALUE(SUBSTITUTE(MID(H4,FIND("/",H4)+1,MIN(IFERROR(FIND("g",H4),LEN(H4)+1),IFERROR(FIND("ml",H4),LEN(H4)+1))-FIND("/",H4)-1)," ",""))</f>
        <v>0.26950000000000002</v>
      </c>
      <c r="J4" s="9" t="s">
        <v>104</v>
      </c>
      <c r="K4" s="9">
        <f>VALUE(SUBSTITUTE(MID(J4,FIND("¥",J4)+1,FIND("/",J4)-FIND("¥",J4)-1)," ",""))/VALUE(SUBSTITUTE(MID(J4,FIND("/",J4)+1,MIN(IFERROR(FIND("g",J4),LEN(J4)+1),IFERROR(FIND("ml",J4),LEN(J4)+1))-FIND("/",J4)-1)," ",""))</f>
        <v>2.3333333333333334E-2</v>
      </c>
      <c r="L4" s="8">
        <v>0.57999999999999996</v>
      </c>
      <c r="M4" s="29">
        <f>N4/(L4+L5)</f>
        <v>0.59633027522935778</v>
      </c>
      <c r="N4" s="37">
        <v>1.3</v>
      </c>
      <c r="O4" s="35">
        <f>(I4*L4+I5*L5+I6*L6+I7*L7)/N4</f>
        <v>10.266299999999999</v>
      </c>
      <c r="P4" s="35">
        <f>(K4*L4+K5*L5+K6*L6+K7*L7)/1.3</f>
        <v>0.28989743589743588</v>
      </c>
    </row>
    <row r="5" spans="1:22" x14ac:dyDescent="0.4">
      <c r="A5" s="41"/>
      <c r="B5" s="32"/>
      <c r="C5" s="8" t="s">
        <v>20</v>
      </c>
      <c r="D5" s="8" t="s">
        <v>21</v>
      </c>
      <c r="E5" s="8" t="s">
        <v>22</v>
      </c>
      <c r="F5" s="8" t="s">
        <v>23</v>
      </c>
      <c r="G5" s="8" t="s">
        <v>18</v>
      </c>
      <c r="H5" s="8" t="s">
        <v>24</v>
      </c>
      <c r="I5" s="9">
        <f t="shared" ref="I5:K22" si="0">VALUE(SUBSTITUTE(MID(H5,FIND("¥",H5)+1,FIND("/",H5)-FIND("¥",H5)-1)," ",""))/VALUE(SUBSTITUTE(MID(H5,FIND("/",H5)+1,MIN(IFERROR(FIND("g",H5),LEN(H5)+1),IFERROR(FIND("ml",H5),LEN(H5)+1))-FIND("/",H5)-1)," ",""))</f>
        <v>0.81179999999999997</v>
      </c>
      <c r="J5" s="9" t="s">
        <v>105</v>
      </c>
      <c r="K5" s="9">
        <f t="shared" si="0"/>
        <v>3.3333333333333333E-2</v>
      </c>
      <c r="L5" s="8">
        <v>1.6</v>
      </c>
      <c r="M5" s="29"/>
      <c r="N5" s="37"/>
      <c r="O5" s="35"/>
      <c r="P5" s="35"/>
    </row>
    <row r="6" spans="1:22" x14ac:dyDescent="0.4">
      <c r="A6" s="41"/>
      <c r="B6" s="32"/>
      <c r="C6" s="8" t="s">
        <v>25</v>
      </c>
      <c r="D6" s="8" t="s">
        <v>26</v>
      </c>
      <c r="E6" s="8" t="str">
        <f>"64-12-2"</f>
        <v>64-12-2</v>
      </c>
      <c r="F6" s="8" t="s">
        <v>27</v>
      </c>
      <c r="G6" s="8" t="s">
        <v>18</v>
      </c>
      <c r="H6" s="8" t="s">
        <v>28</v>
      </c>
      <c r="I6" s="9">
        <f t="shared" si="0"/>
        <v>7.4799999999999991E-2</v>
      </c>
      <c r="J6" s="9" t="s">
        <v>106</v>
      </c>
      <c r="K6" s="9">
        <f>VALUE(SUBSTITUTE(MID(J6,FIND("¥",J6)+1,FIND("/",J6)-FIND("¥",J6)-1)," ",""))/VALUE(SUBSTITUTE(MID(J6,FIND("/",J6)+1,MIN(IFERROR(FIND("g",J6),LEN(J6)+1),IFERROR(FIND("ml",J6),LEN(J6)+1))-FIND("/",J6)-1)," ",""))</f>
        <v>9.9000000000000008E-3</v>
      </c>
      <c r="L6" s="8">
        <v>20</v>
      </c>
      <c r="M6" s="29"/>
      <c r="N6" s="37"/>
      <c r="O6" s="35"/>
      <c r="P6" s="35"/>
    </row>
    <row r="7" spans="1:22" ht="19.5" customHeight="1" x14ac:dyDescent="0.4">
      <c r="A7" s="41"/>
      <c r="B7" s="32"/>
      <c r="C7" s="8" t="s">
        <v>29</v>
      </c>
      <c r="D7" s="8" t="s">
        <v>30</v>
      </c>
      <c r="E7" s="8" t="s">
        <v>31</v>
      </c>
      <c r="F7" s="8" t="s">
        <v>32</v>
      </c>
      <c r="G7" s="8" t="s">
        <v>18</v>
      </c>
      <c r="H7" s="8" t="s">
        <v>33</v>
      </c>
      <c r="I7" s="9">
        <f t="shared" si="0"/>
        <v>1.4850000000000001</v>
      </c>
      <c r="J7" s="9" t="s">
        <v>107</v>
      </c>
      <c r="K7" s="9">
        <f t="shared" si="0"/>
        <v>1.6E-2</v>
      </c>
      <c r="L7" s="8">
        <v>7</v>
      </c>
      <c r="M7" s="29"/>
      <c r="N7" s="37"/>
      <c r="O7" s="35"/>
      <c r="P7" s="35"/>
    </row>
    <row r="8" spans="1:22" ht="23.5" customHeight="1" x14ac:dyDescent="0.4">
      <c r="A8" s="39" t="s">
        <v>113</v>
      </c>
      <c r="B8" s="33" t="s">
        <v>89</v>
      </c>
      <c r="C8" s="8" t="s">
        <v>98</v>
      </c>
      <c r="D8" s="8" t="s">
        <v>34</v>
      </c>
      <c r="E8" s="8" t="s">
        <v>90</v>
      </c>
      <c r="F8" s="8" t="s">
        <v>35</v>
      </c>
      <c r="G8" s="8" t="s">
        <v>36</v>
      </c>
      <c r="H8" s="8" t="s">
        <v>93</v>
      </c>
      <c r="I8" s="9">
        <f t="shared" si="0"/>
        <v>5.9611999999999998</v>
      </c>
      <c r="J8" s="9" t="s">
        <v>101</v>
      </c>
      <c r="K8" s="9">
        <f t="shared" si="0"/>
        <v>0.92500000000000004</v>
      </c>
      <c r="L8" s="8">
        <v>0.87</v>
      </c>
      <c r="M8" s="30">
        <f>0.5/(L8+L9+L10)</f>
        <v>0.21097046413502113</v>
      </c>
      <c r="N8" s="38">
        <v>0.5</v>
      </c>
      <c r="O8" s="35">
        <f>(I8*L8+I9*L9+I10*L10)/N8</f>
        <v>12.766967999999999</v>
      </c>
      <c r="P8" s="35">
        <f>(K8*L8+K9*L9+K10*L10)/N8</f>
        <v>1.6876600000000002</v>
      </c>
      <c r="Q8" s="19" t="s">
        <v>37</v>
      </c>
      <c r="R8" s="8" t="s">
        <v>38</v>
      </c>
      <c r="S8" s="8" t="s">
        <v>36</v>
      </c>
      <c r="T8" s="20" t="s">
        <v>39</v>
      </c>
      <c r="U8" s="20">
        <f>59.9/25</f>
        <v>2.3959999999999999</v>
      </c>
      <c r="V8" s="22" t="s">
        <v>40</v>
      </c>
    </row>
    <row r="9" spans="1:22" x14ac:dyDescent="0.4">
      <c r="A9" s="40"/>
      <c r="B9" s="32"/>
      <c r="C9" s="8" t="s">
        <v>100</v>
      </c>
      <c r="D9" s="8" t="s">
        <v>41</v>
      </c>
      <c r="E9" s="8" t="s">
        <v>96</v>
      </c>
      <c r="F9" s="8">
        <v>0.99</v>
      </c>
      <c r="G9" s="8" t="s">
        <v>18</v>
      </c>
      <c r="H9" s="8" t="s">
        <v>42</v>
      </c>
      <c r="I9" s="9">
        <f t="shared" si="0"/>
        <v>0.94599999999999995</v>
      </c>
      <c r="J9" s="9" t="s">
        <v>102</v>
      </c>
      <c r="K9" s="9">
        <f>VALUE(SUBSTITUTE(MID(J9,FIND("¥",J9)+1,FIND("/",J9)-FIND("¥",J9)-1)," ",""))/VALUE(SUBSTITUTE(MID(J9,FIND("/",J9)+1,MIN(IFERROR(FIND("g",J9),LEN(J9)+1),IFERROR(FIND("ml",J9),LEN(J9)+1))-FIND("/",J9)-1)," ",""))</f>
        <v>2.6666666666666668E-2</v>
      </c>
      <c r="L9" s="8">
        <v>1.2</v>
      </c>
      <c r="M9" s="30"/>
      <c r="N9" s="38"/>
      <c r="O9" s="35"/>
      <c r="P9" s="35"/>
    </row>
    <row r="10" spans="1:22" x14ac:dyDescent="0.4">
      <c r="A10" s="40"/>
      <c r="B10" s="32"/>
      <c r="C10" s="8" t="s">
        <v>43</v>
      </c>
      <c r="D10" s="8" t="s">
        <v>44</v>
      </c>
      <c r="E10" s="8" t="s">
        <v>97</v>
      </c>
      <c r="F10" s="8" t="s">
        <v>23</v>
      </c>
      <c r="G10" s="8" t="s">
        <v>18</v>
      </c>
      <c r="H10" s="8" t="s">
        <v>45</v>
      </c>
      <c r="I10" s="9">
        <f t="shared" si="0"/>
        <v>0.20680000000000001</v>
      </c>
      <c r="J10" s="9" t="s">
        <v>103</v>
      </c>
      <c r="K10" s="9">
        <f t="shared" si="0"/>
        <v>2.3599999999999999E-2</v>
      </c>
      <c r="L10" s="8">
        <v>0.3</v>
      </c>
      <c r="M10" s="30"/>
      <c r="N10" s="38"/>
      <c r="O10" s="35"/>
      <c r="P10" s="35"/>
    </row>
    <row r="11" spans="1:22" ht="55" customHeight="1" x14ac:dyDescent="0.4">
      <c r="A11" s="40"/>
      <c r="B11" s="32"/>
      <c r="C11" s="8" t="s">
        <v>46</v>
      </c>
      <c r="D11" s="8" t="s">
        <v>47</v>
      </c>
      <c r="E11" s="8" t="s">
        <v>48</v>
      </c>
      <c r="F11" s="8" t="s">
        <v>49</v>
      </c>
      <c r="G11" s="8" t="s">
        <v>50</v>
      </c>
      <c r="H11" s="8" t="s">
        <v>48</v>
      </c>
      <c r="I11" s="9" t="s">
        <v>48</v>
      </c>
      <c r="J11" s="9"/>
      <c r="K11" s="9" t="s">
        <v>48</v>
      </c>
      <c r="L11" s="8" t="s">
        <v>48</v>
      </c>
      <c r="M11" s="30"/>
      <c r="N11" s="38"/>
      <c r="O11" s="35"/>
      <c r="P11" s="35"/>
    </row>
    <row r="12" spans="1:22" x14ac:dyDescent="0.4">
      <c r="A12" s="39" t="s">
        <v>99</v>
      </c>
      <c r="B12" s="31" t="s">
        <v>115</v>
      </c>
      <c r="C12" s="8" t="s">
        <v>51</v>
      </c>
      <c r="D12" s="8"/>
      <c r="E12" s="8"/>
      <c r="F12" s="8" t="s">
        <v>52</v>
      </c>
      <c r="G12" s="8" t="s">
        <v>53</v>
      </c>
      <c r="H12" s="8" t="s">
        <v>54</v>
      </c>
      <c r="I12" s="9">
        <f t="shared" si="0"/>
        <v>5.6100000000000004E-2</v>
      </c>
      <c r="J12" s="9" t="s">
        <v>109</v>
      </c>
      <c r="K12" s="9">
        <f t="shared" si="0"/>
        <v>0.03</v>
      </c>
      <c r="L12" s="8">
        <v>2.4</v>
      </c>
      <c r="M12" s="30">
        <f>N12/(L12+L13+L14)</f>
        <v>0.28433734939759031</v>
      </c>
      <c r="N12" s="38">
        <v>1.18</v>
      </c>
      <c r="O12" s="35">
        <f>(I12*L12+I13*L13+I14*L14)/N12</f>
        <v>0.3992076271186441</v>
      </c>
      <c r="P12" s="35">
        <f>(K12*L12+K13*L13+K14*L14)/1.18</f>
        <v>0.23347457627118642</v>
      </c>
    </row>
    <row r="13" spans="1:22" x14ac:dyDescent="0.4">
      <c r="A13" s="40"/>
      <c r="B13" s="32"/>
      <c r="C13" s="8" t="s">
        <v>55</v>
      </c>
      <c r="D13" s="8"/>
      <c r="E13" s="8"/>
      <c r="F13" s="8" t="s">
        <v>52</v>
      </c>
      <c r="G13" s="8" t="s">
        <v>56</v>
      </c>
      <c r="H13" s="8" t="s">
        <v>57</v>
      </c>
      <c r="I13" s="9">
        <f t="shared" si="0"/>
        <v>0.29600000000000004</v>
      </c>
      <c r="J13" s="9" t="s">
        <v>108</v>
      </c>
      <c r="K13" s="9">
        <f t="shared" si="0"/>
        <v>1.6E-2</v>
      </c>
      <c r="L13" s="8">
        <v>1</v>
      </c>
      <c r="M13" s="30"/>
      <c r="N13" s="38"/>
      <c r="O13" s="35"/>
      <c r="P13" s="35"/>
    </row>
    <row r="14" spans="1:22" x14ac:dyDescent="0.4">
      <c r="A14" s="40"/>
      <c r="B14" s="32"/>
      <c r="C14" s="8" t="s">
        <v>58</v>
      </c>
      <c r="D14" s="8"/>
      <c r="E14" s="8"/>
      <c r="F14" s="8" t="s">
        <v>59</v>
      </c>
      <c r="G14" s="8" t="s">
        <v>53</v>
      </c>
      <c r="H14" s="8" t="s">
        <v>60</v>
      </c>
      <c r="I14" s="9">
        <f t="shared" si="0"/>
        <v>5.3899999999999997E-2</v>
      </c>
      <c r="J14" s="25" t="s">
        <v>110</v>
      </c>
      <c r="K14" s="9">
        <f t="shared" si="0"/>
        <v>0.25</v>
      </c>
      <c r="L14" s="8">
        <v>0.75</v>
      </c>
      <c r="M14" s="30"/>
      <c r="N14" s="38"/>
      <c r="O14" s="35"/>
      <c r="P14" s="35"/>
    </row>
    <row r="15" spans="1:22" ht="81" customHeight="1" x14ac:dyDescent="0.4">
      <c r="A15" s="40"/>
      <c r="B15" s="32"/>
      <c r="C15" s="8" t="s">
        <v>61</v>
      </c>
      <c r="D15" s="8"/>
      <c r="E15" s="8"/>
      <c r="F15" s="8" t="s">
        <v>49</v>
      </c>
      <c r="G15" s="8" t="s">
        <v>50</v>
      </c>
      <c r="H15" s="8" t="s">
        <v>48</v>
      </c>
      <c r="I15" s="9" t="s">
        <v>48</v>
      </c>
      <c r="J15" s="9"/>
      <c r="K15" s="9" t="s">
        <v>48</v>
      </c>
      <c r="L15" s="8"/>
      <c r="M15" s="30"/>
      <c r="N15" s="38"/>
      <c r="O15" s="35"/>
      <c r="P15" s="35"/>
    </row>
    <row r="16" spans="1:22" ht="16.5" customHeight="1" x14ac:dyDescent="0.4">
      <c r="B16" s="34" t="s">
        <v>116</v>
      </c>
      <c r="C16" s="10" t="s">
        <v>62</v>
      </c>
      <c r="D16" s="10"/>
      <c r="E16" s="10" t="s">
        <v>63</v>
      </c>
      <c r="F16" s="10" t="s">
        <v>64</v>
      </c>
      <c r="G16" s="10" t="s">
        <v>53</v>
      </c>
      <c r="H16" s="10" t="s">
        <v>65</v>
      </c>
      <c r="I16" s="9">
        <f t="shared" si="0"/>
        <v>3.278</v>
      </c>
      <c r="J16" s="9"/>
      <c r="K16" s="9" t="e">
        <f t="shared" si="0"/>
        <v>#VALUE!</v>
      </c>
      <c r="L16" s="8">
        <v>0.106</v>
      </c>
      <c r="M16" s="30">
        <v>0.72</v>
      </c>
      <c r="N16" s="37">
        <f>(L16+L17)*0.7</f>
        <v>0.12739999999999999</v>
      </c>
      <c r="O16" s="35">
        <f>(I16*L16+I17*L17+I18*L18)/N16</f>
        <v>32.13036106750392</v>
      </c>
      <c r="P16" s="35">
        <f>(J16*M16+J17*M17+J18*M18)/O16</f>
        <v>0</v>
      </c>
    </row>
    <row r="17" spans="2:16" x14ac:dyDescent="0.4">
      <c r="B17" s="34"/>
      <c r="C17" s="8" t="s">
        <v>66</v>
      </c>
      <c r="D17" s="8"/>
      <c r="E17" s="8" t="s">
        <v>67</v>
      </c>
      <c r="F17" s="11">
        <v>0.99</v>
      </c>
      <c r="G17" s="8" t="s">
        <v>53</v>
      </c>
      <c r="H17" s="8" t="s">
        <v>68</v>
      </c>
      <c r="I17" s="9">
        <f t="shared" si="0"/>
        <v>0.27500000000000002</v>
      </c>
      <c r="J17" s="9"/>
      <c r="K17" s="9" t="e">
        <f t="shared" si="0"/>
        <v>#VALUE!</v>
      </c>
      <c r="L17" s="8">
        <v>7.5999999999999998E-2</v>
      </c>
      <c r="M17" s="30"/>
      <c r="N17" s="37"/>
      <c r="O17" s="35"/>
      <c r="P17" s="35"/>
    </row>
    <row r="18" spans="2:16" ht="17" customHeight="1" x14ac:dyDescent="0.4">
      <c r="B18" s="34"/>
      <c r="C18" s="8" t="s">
        <v>69</v>
      </c>
      <c r="D18" s="8"/>
      <c r="E18" s="12" t="str">
        <f>"68-12-2"</f>
        <v>68-12-2</v>
      </c>
      <c r="F18" s="8" t="s">
        <v>70</v>
      </c>
      <c r="G18" s="8" t="s">
        <v>53</v>
      </c>
      <c r="H18" s="8" t="s">
        <v>71</v>
      </c>
      <c r="I18" s="9">
        <f t="shared" si="0"/>
        <v>7.4799999999999991E-2</v>
      </c>
      <c r="J18" s="9"/>
      <c r="K18" s="9" t="e">
        <f t="shared" si="0"/>
        <v>#VALUE!</v>
      </c>
      <c r="L18" s="8">
        <v>49.8</v>
      </c>
      <c r="M18" s="30"/>
      <c r="N18" s="37"/>
      <c r="O18" s="35"/>
      <c r="P18" s="35"/>
    </row>
    <row r="19" spans="2:16" x14ac:dyDescent="0.4">
      <c r="B19" s="27" t="s">
        <v>117</v>
      </c>
      <c r="C19" s="13" t="s">
        <v>72</v>
      </c>
      <c r="D19" s="13" t="s">
        <v>73</v>
      </c>
      <c r="E19" s="13" t="s">
        <v>74</v>
      </c>
      <c r="F19" s="13" t="s">
        <v>75</v>
      </c>
      <c r="G19" s="13" t="s">
        <v>18</v>
      </c>
      <c r="H19" s="13" t="s">
        <v>76</v>
      </c>
      <c r="I19" s="9">
        <f t="shared" si="0"/>
        <v>0.56799999999999995</v>
      </c>
      <c r="J19" s="9"/>
      <c r="K19" s="9" t="e">
        <f t="shared" si="0"/>
        <v>#VALUE!</v>
      </c>
      <c r="L19" s="8">
        <v>0.249</v>
      </c>
      <c r="M19" s="30">
        <v>9.6000000000000002E-2</v>
      </c>
      <c r="N19" s="36">
        <f>VALUE(SUM(L19:L21)*M19)</f>
        <v>6.0192000000000002E-2</v>
      </c>
      <c r="O19" s="35">
        <f>(I19*L19+I20*L20+I21*L21)/N19</f>
        <v>3.1032695374800636</v>
      </c>
      <c r="P19" s="35">
        <f>(J19*M19+J20*M20+J21*M21)/O19</f>
        <v>0</v>
      </c>
    </row>
    <row r="20" spans="2:16" x14ac:dyDescent="0.4">
      <c r="B20" s="28"/>
      <c r="C20" s="13" t="s">
        <v>77</v>
      </c>
      <c r="D20" s="13" t="s">
        <v>78</v>
      </c>
      <c r="E20" s="13" t="s">
        <v>79</v>
      </c>
      <c r="F20" s="14">
        <v>0.95</v>
      </c>
      <c r="G20" s="13" t="s">
        <v>18</v>
      </c>
      <c r="H20" s="13" t="s">
        <v>80</v>
      </c>
      <c r="I20" s="9">
        <f t="shared" si="0"/>
        <v>0.12</v>
      </c>
      <c r="J20" s="9"/>
      <c r="K20" s="9" t="e">
        <f t="shared" si="0"/>
        <v>#VALUE!</v>
      </c>
      <c r="L20" s="8">
        <v>0.16800000000000001</v>
      </c>
      <c r="M20" s="30"/>
      <c r="N20" s="36"/>
      <c r="O20" s="35"/>
      <c r="P20" s="35"/>
    </row>
    <row r="21" spans="2:16" x14ac:dyDescent="0.4">
      <c r="B21" s="28"/>
      <c r="C21" s="13" t="s">
        <v>81</v>
      </c>
      <c r="D21" s="13" t="s">
        <v>82</v>
      </c>
      <c r="E21" s="13" t="s">
        <v>83</v>
      </c>
      <c r="F21" s="15">
        <v>0.998</v>
      </c>
      <c r="G21" s="13" t="s">
        <v>18</v>
      </c>
      <c r="H21" s="13" t="s">
        <v>80</v>
      </c>
      <c r="I21" s="9">
        <f t="shared" si="0"/>
        <v>0.12</v>
      </c>
      <c r="J21" s="9"/>
      <c r="K21" s="9" t="e">
        <f t="shared" si="0"/>
        <v>#VALUE!</v>
      </c>
      <c r="L21" s="8">
        <v>0.21</v>
      </c>
      <c r="M21" s="30"/>
      <c r="N21" s="36"/>
      <c r="O21" s="35"/>
      <c r="P21" s="35"/>
    </row>
    <row r="22" spans="2:16" ht="26" x14ac:dyDescent="0.4">
      <c r="B22" s="28"/>
      <c r="C22" s="13" t="s">
        <v>84</v>
      </c>
      <c r="D22" s="13" t="s">
        <v>85</v>
      </c>
      <c r="E22" s="13" t="s">
        <v>86</v>
      </c>
      <c r="F22" s="13" t="s">
        <v>87</v>
      </c>
      <c r="G22" s="13" t="s">
        <v>18</v>
      </c>
      <c r="H22" s="13" t="s">
        <v>88</v>
      </c>
      <c r="I22" s="9">
        <f t="shared" si="0"/>
        <v>0.16</v>
      </c>
      <c r="J22" s="9"/>
      <c r="K22" s="9" t="e">
        <f t="shared" si="0"/>
        <v>#VALUE!</v>
      </c>
      <c r="L22" s="8" t="s">
        <v>48</v>
      </c>
      <c r="M22" s="30"/>
      <c r="N22" s="36"/>
      <c r="O22" s="35"/>
      <c r="P22" s="35"/>
    </row>
  </sheetData>
  <mergeCells count="28">
    <mergeCell ref="A12:A15"/>
    <mergeCell ref="A8:A11"/>
    <mergeCell ref="A4:A7"/>
    <mergeCell ref="P4:P7"/>
    <mergeCell ref="P8:P11"/>
    <mergeCell ref="P12:P15"/>
    <mergeCell ref="P16:P18"/>
    <mergeCell ref="P19:P22"/>
    <mergeCell ref="N19:N22"/>
    <mergeCell ref="O4:O7"/>
    <mergeCell ref="O8:O11"/>
    <mergeCell ref="O12:O15"/>
    <mergeCell ref="O16:O18"/>
    <mergeCell ref="O19:O22"/>
    <mergeCell ref="N4:N7"/>
    <mergeCell ref="N8:N11"/>
    <mergeCell ref="N12:N15"/>
    <mergeCell ref="N16:N18"/>
    <mergeCell ref="B19:B22"/>
    <mergeCell ref="M4:M7"/>
    <mergeCell ref="M8:M11"/>
    <mergeCell ref="M12:M15"/>
    <mergeCell ref="M16:M18"/>
    <mergeCell ref="M19:M22"/>
    <mergeCell ref="B4:B7"/>
    <mergeCell ref="B8:B11"/>
    <mergeCell ref="B12:B15"/>
    <mergeCell ref="B16:B18"/>
  </mergeCells>
  <phoneticPr fontId="11" type="noConversion"/>
  <conditionalFormatting sqref="I4:J22">
    <cfRule type="colorScale" priority="3">
      <colorScale>
        <cfvo type="min"/>
        <cfvo type="max"/>
        <color rgb="FFFCFCFF"/>
        <color rgb="FFF8696B"/>
      </colorScale>
    </cfRule>
  </conditionalFormatting>
  <conditionalFormatting sqref="O4:O2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{65CCB439-F7E9-4AA6-BF3A-678ECFB4AE3D}</x14:id>
        </ext>
      </extLst>
    </cfRule>
  </conditionalFormatting>
  <conditionalFormatting sqref="K4:K22">
    <cfRule type="colorScale" priority="2">
      <colorScale>
        <cfvo type="min"/>
        <cfvo type="max"/>
        <color rgb="FFFCFCFF"/>
        <color rgb="FFF8696B"/>
      </colorScale>
    </cfRule>
  </conditionalFormatting>
  <conditionalFormatting sqref="P4:P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{915D6B03-36A5-423A-86C7-A081ADF0CF07}</x14:id>
        </ext>
      </extLst>
    </cfRule>
  </conditionalFormatting>
  <hyperlinks>
    <hyperlink ref="V8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CCB439-F7E9-4AA6-BF3A-678ECFB4AE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O4:O22</xm:sqref>
        </x14:conditionalFormatting>
        <x14:conditionalFormatting xmlns:xm="http://schemas.microsoft.com/office/excel/2006/main">
          <x14:cfRule type="dataBar" id="{915D6B03-36A5-423A-86C7-A081ADF0CF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P4:P22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6"/>
  <sheetViews>
    <sheetView tabSelected="1" zoomScale="160" zoomScaleNormal="160" workbookViewId="0">
      <selection activeCell="K24" sqref="K24"/>
    </sheetView>
  </sheetViews>
  <sheetFormatPr defaultColWidth="9" defaultRowHeight="16.5" x14ac:dyDescent="0.4"/>
  <cols>
    <col min="2" max="2" width="16.36328125" customWidth="1"/>
    <col min="4" max="4" width="10.36328125" customWidth="1"/>
    <col min="7" max="7" width="14.1796875" customWidth="1"/>
    <col min="9" max="9" width="14.1796875" customWidth="1"/>
    <col min="11" max="11" width="26.54296875" customWidth="1"/>
  </cols>
  <sheetData>
    <row r="1" spans="1:12" ht="28" customHeight="1" x14ac:dyDescent="0.4">
      <c r="A1" s="6" t="s">
        <v>1</v>
      </c>
      <c r="B1" s="6" t="s">
        <v>2</v>
      </c>
      <c r="C1" s="6" t="s">
        <v>3</v>
      </c>
      <c r="D1" s="6" t="s">
        <v>4</v>
      </c>
      <c r="E1" s="6" t="s">
        <v>92</v>
      </c>
      <c r="F1" s="6" t="s">
        <v>91</v>
      </c>
      <c r="G1" s="6" t="s">
        <v>7</v>
      </c>
      <c r="H1" s="7" t="s">
        <v>8</v>
      </c>
      <c r="I1" s="7" t="s">
        <v>9</v>
      </c>
      <c r="J1" s="6" t="s">
        <v>10</v>
      </c>
      <c r="K1" s="6" t="s">
        <v>11</v>
      </c>
      <c r="L1" s="16" t="s">
        <v>12</v>
      </c>
    </row>
    <row r="2" spans="1:12" x14ac:dyDescent="0.4">
      <c r="A2" s="45" t="s">
        <v>118</v>
      </c>
      <c r="B2" s="42" t="s">
        <v>119</v>
      </c>
      <c r="C2" s="42" t="s">
        <v>129</v>
      </c>
      <c r="D2" s="42" t="s">
        <v>126</v>
      </c>
      <c r="E2" s="43">
        <v>0.99990000000000001</v>
      </c>
      <c r="F2" s="42" t="s">
        <v>128</v>
      </c>
      <c r="G2" s="26" t="s">
        <v>127</v>
      </c>
      <c r="H2">
        <f>VALUE(SUBSTITUTE(MID(G2,FIND("¥",G2)+1,FIND("/",G2)-FIND("¥",G2)-1)," ",""))/VALUE(SUBSTITUTE(MID(G2,FIND("/",G2)+1,MIN(IFERROR(FIND("g",G2),LEN(G2)+1),IFERROR(FIND("ml",G2),LEN(G2)+1))-FIND("/",G2)-1)," ",""))</f>
        <v>5.9998000000000005</v>
      </c>
      <c r="I2">
        <v>6.6</v>
      </c>
      <c r="J2" s="44">
        <v>70</v>
      </c>
      <c r="K2" s="44">
        <v>7.3</v>
      </c>
      <c r="L2" s="44">
        <f>(H2*I2+H3*I3+H4*I4)/K2</f>
        <v>7.8022849315068505</v>
      </c>
    </row>
    <row r="3" spans="1:12" x14ac:dyDescent="0.4">
      <c r="A3" s="45"/>
      <c r="B3" s="42" t="s">
        <v>122</v>
      </c>
      <c r="C3" s="42" t="s">
        <v>125</v>
      </c>
      <c r="D3" s="42" t="s">
        <v>123</v>
      </c>
      <c r="E3" s="43">
        <v>0.999</v>
      </c>
      <c r="F3" s="42" t="s">
        <v>121</v>
      </c>
      <c r="G3" s="26" t="s">
        <v>124</v>
      </c>
      <c r="H3">
        <f t="shared" ref="H3:H4" si="0">VALUE(SUBSTITUTE(MID(G3,FIND("¥",G3)+1,FIND("/",G3)-FIND("¥",G3)-1)," ",""))/VALUE(SUBSTITUTE(MID(G3,FIND("/",G3)+1,MIN(IFERROR(FIND("g",G3),LEN(G3)+1),IFERROR(FIND("ml",G3),LEN(G3)+1))-FIND("/",G3)-1)," ",""))</f>
        <v>1.65</v>
      </c>
      <c r="I3">
        <v>5</v>
      </c>
      <c r="J3" s="44"/>
      <c r="K3" s="44"/>
      <c r="L3" s="44"/>
    </row>
    <row r="4" spans="1:12" x14ac:dyDescent="0.4">
      <c r="A4" s="45"/>
      <c r="B4" s="42" t="s">
        <v>120</v>
      </c>
      <c r="C4" s="42" t="s">
        <v>132</v>
      </c>
      <c r="D4" s="42" t="s">
        <v>130</v>
      </c>
      <c r="E4" s="43">
        <v>0.99990000000000001</v>
      </c>
      <c r="F4" s="42" t="s">
        <v>121</v>
      </c>
      <c r="G4" s="26" t="s">
        <v>131</v>
      </c>
      <c r="H4">
        <f t="shared" si="0"/>
        <v>0.13800000000000001</v>
      </c>
      <c r="I4">
        <v>66</v>
      </c>
      <c r="J4" s="44"/>
      <c r="K4" s="44"/>
      <c r="L4" s="44"/>
    </row>
    <row r="6" spans="1:12" x14ac:dyDescent="0.4">
      <c r="K6" s="42" t="s">
        <v>133</v>
      </c>
      <c r="L6">
        <v>0.20300000000000001</v>
      </c>
    </row>
  </sheetData>
  <mergeCells count="4">
    <mergeCell ref="J2:J4"/>
    <mergeCell ref="K2:K4"/>
    <mergeCell ref="L2:L4"/>
    <mergeCell ref="A2:A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2025-05-21T07:39:00Z</dcterms:created>
  <dcterms:modified xsi:type="dcterms:W3CDTF">2026-01-09T05:50:12Z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362E355FCE5B48E9A13313B2CF170903</vt:lpwstr>
  </property>
  <property fmtid="{D5CDD505-2E9C-101B-9397-08002B2CF9AE}" pid="3" name="KSOProductBuildVer">
    <vt:lpwstr>2052-11.8.2.12195</vt:lpwstr>
  </property>
</Properties>
</file>