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S:\MiqroEra_lgx\My_projects\MOF\MOF_VOCs-water\VOC\苏大实验室合作\VOCs实验进度\20250513-MOF水热合成\"/>
    </mc:Choice>
  </mc:AlternateContent>
  <xr:revisionPtr revIDLastSave="0" documentId="8_{EFBC9B44-C622-48E5-9EB2-782C9F93BBA8}" xr6:coauthVersionLast="36" xr6:coauthVersionMax="36" xr10:uidLastSave="{00000000-0000-0000-0000-000000000000}"/>
  <bookViews>
    <workbookView xWindow="0" yWindow="0" windowWidth="22190" windowHeight="90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9" i="1" l="1"/>
  <c r="C5" i="1"/>
</calcChain>
</file>

<file path=xl/sharedStrings.xml><?xml version="1.0" encoding="utf-8"?>
<sst xmlns="http://schemas.openxmlformats.org/spreadsheetml/2006/main" count="64" uniqueCount="55">
  <si>
    <t>原料</t>
  </si>
  <si>
    <t>化学式</t>
  </si>
  <si>
    <t>CAS</t>
  </si>
  <si>
    <t>纯度（低一些没关系）</t>
  </si>
  <si>
    <t>购买量（kg）</t>
  </si>
  <si>
    <t>规格包装</t>
  </si>
  <si>
    <t>纯度</t>
  </si>
  <si>
    <t>报价</t>
  </si>
  <si>
    <t>货期</t>
  </si>
  <si>
    <t>3,5-吡唑二羧酸一水合物</t>
  </si>
  <si>
    <t>C5H4N2O4· H2O</t>
  </si>
  <si>
    <t>303180-11-2</t>
  </si>
  <si>
    <t>≥ 97%</t>
  </si>
  <si>
    <t>25kg*32</t>
  </si>
  <si>
    <t>74万</t>
  </si>
  <si>
    <t>定制5-6周</t>
  </si>
  <si>
    <t>氯化铝六水合物</t>
  </si>
  <si>
    <t>AlCl3·6H2O</t>
  </si>
  <si>
    <t>7784-13-6</t>
  </si>
  <si>
    <t>25kg*36</t>
  </si>
  <si>
    <t>2.4万</t>
  </si>
  <si>
    <t>3-4周</t>
  </si>
  <si>
    <t>氢氧化钠</t>
  </si>
  <si>
    <t>NaOH</t>
  </si>
  <si>
    <t>1310-73-2</t>
  </si>
  <si>
    <t>99.9% metals basis</t>
  </si>
  <si>
    <t>硝酸铬(III)九水合物[Cr(NO3)3·9H2O]</t>
  </si>
  <si>
    <t>AR, 99%</t>
  </si>
  <si>
    <t>2.7万</t>
  </si>
  <si>
    <t>2-3周</t>
  </si>
  <si>
    <t>对苯二甲酸（H2BDS）</t>
  </si>
  <si>
    <t>100-21-0</t>
  </si>
  <si>
    <t>25kg*20</t>
  </si>
  <si>
    <t>富马酸（反丁烯二酸）</t>
  </si>
  <si>
    <r>
      <rPr>
        <sz val="9"/>
        <color theme="1"/>
        <rFont val="华文仿宋"/>
        <family val="3"/>
        <charset val="134"/>
      </rPr>
      <t>C</t>
    </r>
    <r>
      <rPr>
        <vertAlign val="subscript"/>
        <sz val="9"/>
        <color theme="1"/>
        <rFont val="华文仿宋"/>
        <family val="3"/>
        <charset val="134"/>
      </rPr>
      <t>4</t>
    </r>
    <r>
      <rPr>
        <sz val="9"/>
        <color theme="1"/>
        <rFont val="华文仿宋"/>
        <family val="3"/>
        <charset val="134"/>
      </rPr>
      <t>H</t>
    </r>
    <r>
      <rPr>
        <vertAlign val="subscript"/>
        <sz val="9"/>
        <color theme="1"/>
        <rFont val="华文仿宋"/>
        <family val="3"/>
        <charset val="134"/>
      </rPr>
      <t>4</t>
    </r>
    <r>
      <rPr>
        <sz val="9"/>
        <color theme="1"/>
        <rFont val="华文仿宋"/>
        <family val="3"/>
        <charset val="134"/>
      </rPr>
      <t>O</t>
    </r>
    <r>
      <rPr>
        <vertAlign val="subscript"/>
        <sz val="9"/>
        <color theme="1"/>
        <rFont val="华文仿宋"/>
        <family val="3"/>
        <charset val="134"/>
      </rPr>
      <t>4</t>
    </r>
  </si>
  <si>
    <t>110-17-8</t>
  </si>
  <si>
    <t>25kg*12</t>
  </si>
  <si>
    <t>八水合氧氯化锆</t>
  </si>
  <si>
    <r>
      <rPr>
        <sz val="9"/>
        <color theme="1"/>
        <rFont val="华文仿宋"/>
        <family val="3"/>
        <charset val="134"/>
      </rPr>
      <t>ZrOCl</t>
    </r>
    <r>
      <rPr>
        <vertAlign val="subscript"/>
        <sz val="9"/>
        <color theme="1"/>
        <rFont val="华文仿宋"/>
        <family val="3"/>
        <charset val="134"/>
      </rPr>
      <t>2</t>
    </r>
    <r>
      <rPr>
        <sz val="9"/>
        <color theme="1"/>
        <rFont val="华文仿宋"/>
        <family val="3"/>
        <charset val="134"/>
      </rPr>
      <t>·8H</t>
    </r>
    <r>
      <rPr>
        <vertAlign val="subscript"/>
        <sz val="9"/>
        <color theme="1"/>
        <rFont val="华文仿宋"/>
        <family val="3"/>
        <charset val="134"/>
      </rPr>
      <t>2</t>
    </r>
    <r>
      <rPr>
        <sz val="9"/>
        <color theme="1"/>
        <rFont val="华文仿宋"/>
        <family val="3"/>
        <charset val="134"/>
      </rPr>
      <t>O</t>
    </r>
  </si>
  <si>
    <t>13520-92-8</t>
  </si>
  <si>
    <t>25kg*24</t>
  </si>
  <si>
    <t>2万</t>
  </si>
  <si>
    <t>N,N-二甲基甲酰胺</t>
  </si>
  <si>
    <r>
      <rPr>
        <sz val="9"/>
        <color theme="1"/>
        <rFont val="华文仿宋"/>
        <family val="3"/>
        <charset val="134"/>
      </rPr>
      <t>C</t>
    </r>
    <r>
      <rPr>
        <vertAlign val="subscript"/>
        <sz val="9"/>
        <color theme="1"/>
        <rFont val="华文仿宋"/>
        <family val="3"/>
        <charset val="134"/>
      </rPr>
      <t>3</t>
    </r>
    <r>
      <rPr>
        <sz val="9"/>
        <color theme="1"/>
        <rFont val="华文仿宋"/>
        <family val="3"/>
        <charset val="134"/>
      </rPr>
      <t>H</t>
    </r>
    <r>
      <rPr>
        <vertAlign val="subscript"/>
        <sz val="9"/>
        <color theme="1"/>
        <rFont val="华文仿宋"/>
        <family val="3"/>
        <charset val="134"/>
      </rPr>
      <t>7</t>
    </r>
    <r>
      <rPr>
        <sz val="9"/>
        <color theme="1"/>
        <rFont val="华文仿宋"/>
        <family val="3"/>
        <charset val="134"/>
      </rPr>
      <t>NO</t>
    </r>
  </si>
  <si>
    <t>&gt;99.9% (GC)</t>
  </si>
  <si>
    <t>190kg*6</t>
  </si>
  <si>
    <t>99.9%(GC)</t>
  </si>
  <si>
    <t>甲酸</t>
  </si>
  <si>
    <t>HCOOH</t>
  </si>
  <si>
    <t>64-18-6</t>
  </si>
  <si>
    <t>≥99%</t>
  </si>
  <si>
    <t>250kg*4</t>
  </si>
  <si>
    <t>25kg*20</t>
    <phoneticPr fontId="5" type="noConversion"/>
  </si>
  <si>
    <t>590*20</t>
    <phoneticPr fontId="5" type="noConversion"/>
  </si>
  <si>
    <t>98.0-100.5%,片状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</si>
</sst>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华文仿宋"/>
      <charset val="134"/>
    </font>
    <font>
      <b/>
      <sz val="11"/>
      <color theme="1"/>
      <name val="华文仿宋"/>
      <family val="3"/>
      <charset val="134"/>
    </font>
    <font>
      <sz val="9"/>
      <color theme="1"/>
      <name val="华文仿宋"/>
      <family val="3"/>
      <charset val="134"/>
    </font>
    <font>
      <sz val="12"/>
      <color theme="1"/>
      <name val="华文仿宋"/>
      <family val="3"/>
      <charset val="134"/>
    </font>
    <font>
      <vertAlign val="subscript"/>
      <sz val="9"/>
      <color theme="1"/>
      <name val="华文仿宋"/>
      <family val="3"/>
      <charset val="134"/>
    </font>
    <font>
      <sz val="9"/>
      <name val="华文仿宋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799920651875362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9" fontId="0" fillId="4" borderId="1" xfId="0" applyNumberForma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145" zoomScaleNormal="145" workbookViewId="0">
      <selection activeCell="G4" sqref="G4"/>
    </sheetView>
  </sheetViews>
  <sheetFormatPr defaultColWidth="9" defaultRowHeight="16.5" x14ac:dyDescent="0.4"/>
  <cols>
    <col min="1" max="1" width="24.36328125" customWidth="1"/>
    <col min="2" max="2" width="24" customWidth="1"/>
    <col min="3" max="3" width="12.26953125" customWidth="1"/>
    <col min="4" max="4" width="28.26953125" customWidth="1"/>
    <col min="5" max="5" width="12.7265625" customWidth="1"/>
    <col min="6" max="6" width="17.81640625" customWidth="1"/>
    <col min="7" max="7" width="20.453125" customWidth="1"/>
    <col min="8" max="8" width="11.36328125" customWidth="1"/>
    <col min="9" max="9" width="13.26953125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4">
      <c r="A2" s="3" t="s">
        <v>9</v>
      </c>
      <c r="B2" s="3" t="s">
        <v>10</v>
      </c>
      <c r="C2" s="3" t="s">
        <v>11</v>
      </c>
      <c r="D2" s="3" t="s">
        <v>12</v>
      </c>
      <c r="E2" s="4">
        <v>800</v>
      </c>
      <c r="F2" s="5" t="s">
        <v>13</v>
      </c>
      <c r="G2" s="6">
        <v>0.99</v>
      </c>
      <c r="H2" s="5" t="s">
        <v>14</v>
      </c>
      <c r="I2" s="5" t="s">
        <v>15</v>
      </c>
    </row>
    <row r="3" spans="1:9" x14ac:dyDescent="0.4">
      <c r="A3" s="3" t="s">
        <v>16</v>
      </c>
      <c r="B3" s="3" t="s">
        <v>17</v>
      </c>
      <c r="C3" s="3" t="s">
        <v>18</v>
      </c>
      <c r="D3" s="3">
        <v>0.99</v>
      </c>
      <c r="E3" s="4">
        <v>900</v>
      </c>
      <c r="F3" s="5" t="s">
        <v>19</v>
      </c>
      <c r="G3" s="6">
        <v>0.98</v>
      </c>
      <c r="H3" s="5" t="s">
        <v>20</v>
      </c>
      <c r="I3" s="5" t="s">
        <v>21</v>
      </c>
    </row>
    <row r="4" spans="1:9" x14ac:dyDescent="0.4">
      <c r="A4" s="3" t="s">
        <v>22</v>
      </c>
      <c r="B4" s="3" t="s">
        <v>23</v>
      </c>
      <c r="C4" s="3" t="s">
        <v>24</v>
      </c>
      <c r="D4" s="3" t="s">
        <v>25</v>
      </c>
      <c r="E4" s="4">
        <v>500</v>
      </c>
      <c r="F4" s="5" t="s">
        <v>52</v>
      </c>
      <c r="G4" s="12" t="s">
        <v>54</v>
      </c>
      <c r="H4" s="5" t="s">
        <v>53</v>
      </c>
      <c r="I4" s="7"/>
    </row>
    <row r="5" spans="1:9" x14ac:dyDescent="0.4">
      <c r="A5" s="3" t="s">
        <v>26</v>
      </c>
      <c r="B5" s="8"/>
      <c r="C5" s="3" t="str">
        <f>"7789-02-8"</f>
        <v>7789-02-8</v>
      </c>
      <c r="D5" s="3" t="s">
        <v>27</v>
      </c>
      <c r="E5" s="4">
        <v>900</v>
      </c>
      <c r="F5" s="5" t="s">
        <v>19</v>
      </c>
      <c r="G5" s="9">
        <v>0.99</v>
      </c>
      <c r="H5" s="7" t="s">
        <v>28</v>
      </c>
      <c r="I5" s="5" t="s">
        <v>29</v>
      </c>
    </row>
    <row r="6" spans="1:9" x14ac:dyDescent="0.4">
      <c r="A6" s="3" t="s">
        <v>30</v>
      </c>
      <c r="B6" s="8"/>
      <c r="C6" s="3" t="s">
        <v>31</v>
      </c>
      <c r="D6" s="3" t="s">
        <v>27</v>
      </c>
      <c r="E6" s="4">
        <v>500</v>
      </c>
      <c r="F6" s="5" t="s">
        <v>32</v>
      </c>
      <c r="G6" s="6">
        <v>0.99</v>
      </c>
      <c r="H6" s="5">
        <v>8000</v>
      </c>
      <c r="I6" s="5" t="s">
        <v>29</v>
      </c>
    </row>
    <row r="7" spans="1:9" x14ac:dyDescent="0.4">
      <c r="A7" s="3" t="s">
        <v>33</v>
      </c>
      <c r="B7" s="3" t="s">
        <v>34</v>
      </c>
      <c r="C7" s="3" t="s">
        <v>35</v>
      </c>
      <c r="D7" s="3">
        <v>0.99</v>
      </c>
      <c r="E7" s="4">
        <v>300</v>
      </c>
      <c r="F7" s="10" t="s">
        <v>36</v>
      </c>
      <c r="G7" s="6">
        <v>0.99</v>
      </c>
      <c r="H7" s="5">
        <v>7000</v>
      </c>
      <c r="I7" s="5" t="s">
        <v>29</v>
      </c>
    </row>
    <row r="8" spans="1:9" x14ac:dyDescent="0.4">
      <c r="A8" s="3" t="s">
        <v>37</v>
      </c>
      <c r="B8" s="3" t="s">
        <v>38</v>
      </c>
      <c r="C8" s="3" t="s">
        <v>39</v>
      </c>
      <c r="D8" s="3" t="s">
        <v>25</v>
      </c>
      <c r="E8" s="4">
        <v>600</v>
      </c>
      <c r="F8" s="5" t="s">
        <v>40</v>
      </c>
      <c r="G8" s="10" t="s">
        <v>25</v>
      </c>
      <c r="H8" s="5" t="s">
        <v>41</v>
      </c>
      <c r="I8" s="5" t="s">
        <v>29</v>
      </c>
    </row>
    <row r="9" spans="1:9" x14ac:dyDescent="0.4">
      <c r="A9" s="3" t="s">
        <v>42</v>
      </c>
      <c r="B9" s="3" t="s">
        <v>43</v>
      </c>
      <c r="C9" s="3" t="str">
        <f>"64-12-2"</f>
        <v>64-12-2</v>
      </c>
      <c r="D9" s="3" t="s">
        <v>44</v>
      </c>
      <c r="E9" s="4">
        <v>1000</v>
      </c>
      <c r="F9" s="7" t="s">
        <v>45</v>
      </c>
      <c r="G9" s="7" t="s">
        <v>46</v>
      </c>
      <c r="H9" s="7">
        <v>9900</v>
      </c>
      <c r="I9" s="5" t="s">
        <v>29</v>
      </c>
    </row>
    <row r="10" spans="1:9" x14ac:dyDescent="0.4">
      <c r="A10" s="3" t="s">
        <v>47</v>
      </c>
      <c r="B10" s="3" t="s">
        <v>48</v>
      </c>
      <c r="C10" s="3" t="s">
        <v>49</v>
      </c>
      <c r="D10" s="3" t="s">
        <v>50</v>
      </c>
      <c r="E10" s="4">
        <v>1000</v>
      </c>
      <c r="F10" s="7" t="s">
        <v>51</v>
      </c>
      <c r="G10" s="11">
        <v>0.99</v>
      </c>
      <c r="H10" s="7">
        <v>16000</v>
      </c>
      <c r="I10" s="5" t="s">
        <v>29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2025-07-17T09:06:00Z</dcterms:created>
  <dcterms:modified xsi:type="dcterms:W3CDTF">2025-07-21T07:24:34Z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A146789B76FE485EB2CF9CEFB956DED0_13</vt:lpwstr>
  </property>
  <property fmtid="{D5CDD505-2E9C-101B-9397-08002B2CF9AE}" pid="3" name="KSOProductBuildVer">
    <vt:lpwstr>2052-12.1.0.21915</vt:lpwstr>
  </property>
</Properties>
</file>