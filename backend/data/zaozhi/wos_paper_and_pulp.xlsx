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公司立项_可研报告\造纸\新方向调研\"/>
    </mc:Choice>
  </mc:AlternateContent>
  <xr:revisionPtr revIDLastSave="0" documentId="8_{AC9EB701-94B0-470D-B334-315DB0FB0731}" xr6:coauthVersionLast="47" xr6:coauthVersionMax="47" xr10:uidLastSave="{00000000-0000-0000-0000-000000000000}"/>
  <bookViews>
    <workbookView xWindow="-110" yWindow="-110" windowWidth="38620" windowHeight="21100" xr2:uid="{789F5451-0F65-4822-A972-AF64EA66826F}"/>
  </bookViews>
  <sheets>
    <sheet name="savedrec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F2" i="1" l="1"/>
  <c r="BT2" i="1"/>
  <c r="BF3" i="1"/>
  <c r="BT3" i="1"/>
  <c r="BF4" i="1"/>
  <c r="BT4" i="1"/>
  <c r="BF5" i="1"/>
  <c r="BT5" i="1"/>
  <c r="BF6" i="1"/>
  <c r="BT6" i="1"/>
  <c r="BF7" i="1"/>
  <c r="BT7" i="1"/>
  <c r="BF8" i="1"/>
  <c r="BT8" i="1"/>
  <c r="BF9" i="1"/>
  <c r="BT9" i="1"/>
  <c r="BF10" i="1"/>
  <c r="BT10" i="1"/>
  <c r="BF11" i="1"/>
  <c r="BT11" i="1"/>
  <c r="BF12" i="1"/>
  <c r="BT12" i="1"/>
  <c r="BF13" i="1"/>
  <c r="BT13" i="1"/>
  <c r="BF14" i="1"/>
  <c r="BT14" i="1"/>
  <c r="BF15" i="1"/>
  <c r="BT15" i="1"/>
  <c r="BF16" i="1"/>
  <c r="BT16" i="1"/>
  <c r="BF17" i="1"/>
  <c r="BT17" i="1"/>
  <c r="BF18" i="1"/>
  <c r="BT18" i="1"/>
  <c r="BF19" i="1"/>
  <c r="BT19" i="1"/>
  <c r="BF20" i="1"/>
  <c r="BT20" i="1"/>
  <c r="BF21" i="1"/>
  <c r="BT21" i="1"/>
  <c r="BF22" i="1"/>
  <c r="BT22" i="1"/>
  <c r="BF23" i="1"/>
  <c r="BT23" i="1"/>
  <c r="BF24" i="1"/>
  <c r="BT24" i="1"/>
  <c r="BF25" i="1"/>
  <c r="BT25" i="1"/>
  <c r="BF26" i="1"/>
  <c r="BT26" i="1"/>
  <c r="BF27" i="1"/>
  <c r="BT27" i="1"/>
  <c r="BF28" i="1"/>
  <c r="BT28" i="1"/>
  <c r="BF29" i="1"/>
  <c r="BT29" i="1"/>
  <c r="BF30" i="1"/>
  <c r="BT30" i="1"/>
  <c r="BF31" i="1"/>
  <c r="BT31" i="1"/>
  <c r="BF32" i="1"/>
  <c r="BT32" i="1"/>
  <c r="BF33" i="1"/>
  <c r="BT33" i="1"/>
  <c r="BF34" i="1"/>
  <c r="BT34" i="1"/>
  <c r="BF35" i="1"/>
  <c r="BT35" i="1"/>
  <c r="BF36" i="1"/>
  <c r="BT36" i="1"/>
  <c r="BF37" i="1"/>
  <c r="BT37" i="1"/>
  <c r="BF38" i="1"/>
  <c r="BT38" i="1"/>
  <c r="BF39" i="1"/>
  <c r="BT39" i="1"/>
  <c r="BF40" i="1"/>
  <c r="BT40" i="1"/>
  <c r="BF41" i="1"/>
  <c r="BT41" i="1"/>
  <c r="BF42" i="1"/>
  <c r="BT42" i="1"/>
  <c r="BF43" i="1"/>
  <c r="BT43" i="1"/>
  <c r="BF44" i="1"/>
  <c r="BT44" i="1"/>
  <c r="BF45" i="1"/>
  <c r="BT45" i="1"/>
  <c r="BF46" i="1"/>
  <c r="BT46" i="1"/>
  <c r="BF47" i="1"/>
  <c r="BT47" i="1"/>
  <c r="BF48" i="1"/>
  <c r="BT48" i="1"/>
  <c r="BF49" i="1"/>
  <c r="BT49" i="1"/>
  <c r="BF50" i="1"/>
  <c r="BT50" i="1"/>
  <c r="BF51" i="1"/>
  <c r="BT51" i="1"/>
</calcChain>
</file>

<file path=xl/sharedStrings.xml><?xml version="1.0" encoding="utf-8"?>
<sst xmlns="http://schemas.openxmlformats.org/spreadsheetml/2006/main" count="3358" uniqueCount="582">
  <si>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</si>
  <si>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</si>
  <si>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</si>
  <si>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</si>
  <si>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</si>
  <si>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</si>
  <si>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</si>
  <si>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</si>
  <si>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</si>
  <si>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</si>
  <si>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</si>
  <si>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</si>
  <si>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</si>
  <si>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</si>
  <si>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</si>
  <si>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</si>
  <si>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</si>
  <si>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</si>
  <si>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</si>
  <si>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</si>
  <si>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</si>
  <si>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</si>
  <si>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</si>
  <si>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</si>
  <si>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</si>
  <si>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</si>
  <si>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</si>
  <si>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</si>
  <si>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</si>
  <si>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</si>
  <si>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</si>
  <si>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</si>
  <si>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</si>
  <si>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</si>
  <si>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</si>
  <si>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</si>
  <si>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</si>
  <si>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</si>
  <si>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</si>
  <si>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</si>
  <si>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</si>
  <si>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</si>
  <si>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</si>
  <si>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</si>
  <si>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</si>
  <si>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</si>
  <si>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</si>
  <si>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</si>
  <si>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</si>
  <si>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</si>
  <si>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</si>
  <si>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</si>
  <si>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</si>
  <si>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</si>
  <si>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</si>
  <si>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</si>
  <si>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</si>
  <si>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</si>
  <si>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</si>
  <si>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</si>
  <si>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</si>
  <si>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</si>
  <si>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</si>
  <si>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</si>
  <si>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</si>
  <si>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</si>
  <si>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</si>
  <si>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</si>
  <si>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</si>
  <si>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</si>
  <si>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</si>
  <si>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</si>
  <si>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</si>
  <si>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Arsalan, A; Ravikumar, Y; Tang, XR; Cao, ZJ; Zhao, M; Sun, WJ; Qi, XH</t>
  </si>
  <si>
    <t/>
  </si>
  <si>
    <t>Arsalan, Abdullah; Ravikumar, Yuvaraj; Tang, Xinrui; Cao, Zijing; Zhao, Mei; Sun, Wenjing; Qi, Xianghui</t>
  </si>
  <si>
    <t>Chimeric enzymes in the pulp and paper making industry: Current developments</t>
  </si>
  <si>
    <t>BIOTECHNOLOGY ADVANCES</t>
  </si>
  <si>
    <t>The pulp and paper (P&amp;P) industry plays a vital role in supporting the social and economic progress of a country by supplying essential commodities. Conventional P&amp;P processing often consumes significant energy and use chemical agents to produce hazardous intermediates. The use of enzymes in the P&amp;P industry has significantly reduced both the chemical and energy demands during processing. A variety of enzyme combination cocktails are used to perform multiple functions in a single step, but often fail to operate synergistically because of significant differences in operational conditions. This lack of synergy under various operating conditions highlights the need for engineered chimeric enzymes. Moreover, enzyme engineering approaches enable enzymes to perform catalysis in sub-optimal environment. Enzymes have been engineered to improve their catalytic properties and enhance operational stability. Designing multifunctional or chimeric enzymes can function simultaneously across diverse operational conditions. Chimeric enzymes enable effective synergistic action of multiple enzymes in the P&amp;P industry. This review aims to provide clear insights into the selective development of chimeric enzymes using enzyme engineering approaches for their effective use in the P&amp;P industry.</t>
  </si>
  <si>
    <t>; Arsalan, Abdullah/GQQ-1433-2022; Qi, Xianghui/M-5188-2019</t>
  </si>
  <si>
    <t>Zhao, Mei/0009-0002-2241-4813;</t>
  </si>
  <si>
    <t>0734-9750</t>
  </si>
  <si>
    <t>1873-1899</t>
  </si>
  <si>
    <t>MAR-APR</t>
  </si>
  <si>
    <t>10.1016/j.biotechadv.2025.108530</t>
  </si>
  <si>
    <t>MAR 2025</t>
  </si>
  <si>
    <t>WOS:001427920200001</t>
  </si>
  <si>
    <t>Joyo, FH; Nastasi, B; Garcia, DA</t>
  </si>
  <si>
    <t>Joyo, Farhan Haider; Nastasi, Benedetto; Garcia, Davide Astiaso</t>
  </si>
  <si>
    <t>Decarbonization pathways for the pulp and paper industry: A comprehensive review</t>
  </si>
  <si>
    <t>RENEWABLE &amp; SUSTAINABLE ENERGY REVIEWS</t>
  </si>
  <si>
    <t>The world is experiencing the effects of climate change at an increasing rate, including rising average global temperature, caused primarily by greenhouse gas (GHG) emissions. Energy-intensive industries (EIIs) are major contributors to greenhouse gas emissions. The pulp and paper industry (PPI) is among the top five most energyintensive industries, and it accounts for approximately 6 % of global industrial energy use and 2 % of direct industrial CO2 emissions. Therefore, it is important to decarbonize this industrial sector to achieve the climate policy goal of achieving net-zero emissions as per the Paris Agreement. This paper presents a comprehensive review of the decarbonization options, also known as decarbonization pathways, for the pulp and paper industrial sector. These pathways are selected from available literature, and they mainly include energy efficiency measures (EEMs), paper recycling, switching to carbon-neutral fuels such as biomass and hydrogen, electrification of heat supply, and carbon capture &amp; storage (CCS), among other emerging technologies. After identifying, each decarbonization pathway is discussed in detail with its drivers and barriers to implementation. The Analytical Hierarchy Process AHP, a multi-criteria decision-making MCDM technique, is carried out to rank the decarbonization pathways on five distinct criteria: cost, emission reduction potential, technological readiness level (TRL), implementation time, and scalability. The ranking is carried out in four distinct criteria weight regimes to present clear choices on different criterion weights. This review paper aims to add to the existing literature to provide clear indications in choosing the pathways toward the decarbonization effort in the pulp &amp; paper industry under various strategic priorities.</t>
  </si>
  <si>
    <t>Garcia, Davide/H-6478-2019; Nastasi, Benedetto/F-2013-2015</t>
  </si>
  <si>
    <t>1364-0321</t>
  </si>
  <si>
    <t>1879-0690</t>
  </si>
  <si>
    <t>NOV</t>
  </si>
  <si>
    <t>10.1016/j.rser.2025.116070</t>
  </si>
  <si>
    <t>WOS:001538542900001</t>
  </si>
  <si>
    <t>Sobri, Z; Asa'ari, AZM; Azib, MAM; Nazri, MIM; Abedin, NHZ; Zainudin, ES</t>
  </si>
  <si>
    <t>Sobri, Zakiah; Asa'ari, Ainun Zuriyati Mohamed; Azib, Muhammad Azri Mohd; Nazri, Muhammad Irdin Mohd; Abedin, Nur Hanani Zainal; Zainudin, Edi Syams</t>
  </si>
  <si>
    <t>Green Synthesis of Zinc Oxide Nanoparticles using Brown Algae on Oil Palm Empty Fruit Bunch Pulp and Paper Substrates: Effect of pH 6 to 8</t>
  </si>
  <si>
    <t>BIORESOURCES</t>
  </si>
  <si>
    <t>Green synthesis in producing zinc oxide nanoparticles is well known for its ecofriendly nature and acceptable cost. This study determined the effect of pH 6 to 8 on the green synthesis of zinc oxide nanoparticles using brown algae on oil palm empty fruit bunch pulp (OPEFB) and paper substrates. Ten samples including blank samples were prepared. Brown algae extract was prepared followed by preparation of pulp and paper from commercial OPEFB sheets. The brown algae were set at 3 pH levels, 6 (blank sample), 7 and 8. The PU samples underwent handsheet making based on TAPPI Standard T205, while the PA samples were air-dried prior to testing. All samples were analyzed via FESEM, EDX, and XRD, which confirmed that zinc oxide nanoparticles were successfully synthesized on pulp and paper surfaces. It was shown that higher pH levels enhanced the synthesis performance of zinc oxide nanoparticles, and 70 degrees C was the optimal temperature. The nanoparticles size obtained in this study were 0.27 to 0.54 nm and 0.51 to 1.05 nm for green-synthesized PU and PA samples respectively. Green synthesis was observed to operate better on pulp fiber surfaces rather than paper surfaces.</t>
  </si>
  <si>
    <t>ZAINUDIN, EDI/AAF-7249-2019; sobri, zakiah/KMA-0898-2024</t>
  </si>
  <si>
    <t>1930-2126</t>
  </si>
  <si>
    <t>MAY</t>
  </si>
  <si>
    <t>10.15376/biores.20.2.3689-3702</t>
  </si>
  <si>
    <t>WOS:001476647800004</t>
  </si>
  <si>
    <t>Justo, LF; de Faria, LC</t>
  </si>
  <si>
    <t>Justo, Larissa F.; de Faria, Luiz C.</t>
  </si>
  <si>
    <t>Use of industrial pulp and paper waste as agricultural inputs: A systematic literature review</t>
  </si>
  <si>
    <t>REVISTA BRASILEIRA DE ENGENHARIA AGRICOLA E AMBIENTAL</t>
  </si>
  <si>
    <t>Industrial waste disposal in landfills is a challenge for the pulp and paper industry, and its use as fertilizers and soil conditioners has exhibited potential as a new alternative destination. As such, the present study aimed to identify factors that affect this alternative use for these residues and validate its technical, legal and economic feasibility through a systematic literature review based on the Preferred Reporting Items for Systematic Reviews and Meta-Analyses (PRISMA) protocol. In general, applying wastewater treatment plant sludge, green liquor dregs and biomass ashes in the field has been shown to increase soil fertility, control its acidity, and maintain toxic metal content within the recommended limits. This enables the environmental leveraging of the pulp and paper sector by providing an appropriate alternative destination for industrial waste and promotes circularity in forest and agricultural management. However, no conclusive studies on the economic aspects of this alternative application were found, demonstrating the importance of conducting comprehensive research to confirm its economic feasibility.</t>
  </si>
  <si>
    <t>; Faria, Luiz Carlos/O-4145-2014</t>
  </si>
  <si>
    <t>Freire Justo, Larissa/0009-0009-3114-1977; Faria, Luiz Carlos/0000-0003-1157-3528</t>
  </si>
  <si>
    <t>1415-4366</t>
  </si>
  <si>
    <t>1807-1929</t>
  </si>
  <si>
    <t>e287587</t>
  </si>
  <si>
    <t>10.1590/1807-1929/agriambi.v29n5e287587</t>
  </si>
  <si>
    <t>WOS:001401482800001</t>
  </si>
  <si>
    <t>Revathi, V; Bora, S; Afzia, N; Ghosh, T</t>
  </si>
  <si>
    <t>Revathi, Valureddi; Bora, Susmita; Afzia, Nurin; Ghosh, Tabli</t>
  </si>
  <si>
    <t>Orange peel composition, biopolymer extraction, and applications in paper and packaging sector: A review</t>
  </si>
  <si>
    <t>SUSTAINABLE CHEMISTRY AND PHARMACY</t>
  </si>
  <si>
    <t>In the last few decades, the increased global production of food has led to a significant rise in agro-industrial waste, with citrus fruits contributing to a substantial portion to this waste stream. Considering this, the review aims to explore the development of sustainable materials to manage citrus-derived waste, specifically orange-peel waste, to develop eco-friendly paper and food packaging materials. Orange peel waste, generated in large quantities by the citrus processing industry, presents a promising opportunity for valorization due to its abundance and biodegradability. The orange peel being a remarkable source of various biopolymers, essential oils, and aroma compounds are utilized in food packaging. This review discusses the composition of orange peels and the potential of orange peel powder, extracts, and biopolymers such as cellulose, hemicellulose, and pectin for sustainable food packaging and paper applications. The possible concepts of applying surface engineering in orange peel cellulose for paper and pulp industry has also been highlighted. By integrating extraction processes for these functional biopolymers and reinforcing nanocellulose into polymer matrix, the review highlights the strategies that enhance mechanical strength, thermal stability, and barrier properties in biodegradable films and coatings. The significant outcome of this review emphasizes the potential of orange peel waste as a viable resource for developing innovative biodegradable materials, paving the way for future advancements in sustainable packaging solutions at an industrial level.</t>
  </si>
  <si>
    <t>Ghosh, Dr. Tabli/GLU-5269-2022</t>
  </si>
  <si>
    <t>2352-5541</t>
  </si>
  <si>
    <t>FEB</t>
  </si>
  <si>
    <t>10.1016/j.scp.2025.101908</t>
  </si>
  <si>
    <t>WOS:001405640600001</t>
  </si>
  <si>
    <t>Park, K; Lee, HY; Shin, J; Cho, BYH; An, JW; Chen, JN; Nam, BH</t>
  </si>
  <si>
    <t>Park, Kyungwon; Lee, Hoyoung; Shin, Junwoo; Cho, Byounghooi; An, Jinwoo; Chen, Jiannan; Nam, Boo Hyun</t>
  </si>
  <si>
    <t>Utilization of paper sludge ash in geotechnical engineering - Review</t>
  </si>
  <si>
    <t>GEOMECHANICS AND ENGINEERING</t>
  </si>
  <si>
    <t>The pulp and paper industry has grown and created tremendous volumes of byproducts (e.g., fly ash) via combustion process. Unfortunately, most of them are being landfilled; in the meantime, environmental regulations restrict the disposal in landfill because of high disposal cost and reduced land due to urbanization. Therefore, the pulp and paper industries urgently seek for its beneficial reuse and one of the most cost-effective applications is a building and construction sector, particularly its reuse as geomaterials such as stabilizing soils. This paper provides a comprehensive review of the beneficial use of the paper sludge ash (PSA) in geotechnical engineering applications. Specifically, the paper explored the state-of-the-art knowledge in the areas of physical, chemical, and mineralogical properties of PSA, geotechnical engineering properties (e.g., strength, stiffness, shear strength parameters, etc.) and field applications of the PSA. In addition, the paper looks into geo-environmental applications such as PSA's water absorption and retention performance and its performance as adsorbent for environmental contaminants.</t>
  </si>
  <si>
    <t>chen, joe/KYQ-2458-2024</t>
  </si>
  <si>
    <t>2005-307X</t>
  </si>
  <si>
    <t>2092-6219</t>
  </si>
  <si>
    <t>APR 25</t>
  </si>
  <si>
    <t>SI</t>
  </si>
  <si>
    <t>10.12989/gae.2025.41.2.307</t>
  </si>
  <si>
    <t>WOS:001501149900015</t>
  </si>
  <si>
    <t>Kasmani, JE; Samariha, A</t>
  </si>
  <si>
    <t>Kasmani, Jafar Ebrahimpour; Samariha, Ahmad</t>
  </si>
  <si>
    <t>Impact of Nano-Silica, Cationic Polyacrylamide, and Cationic Starch on Long Fiber Utilization in Recycled Paper Production</t>
  </si>
  <si>
    <t>This study evaluated the individual and combined effects of four additives-nano-silica, cationic polyacrylamide, cationic starch, and long fibers-on paper production from recycled white pulp. Various combinations were tested with long fiber pulp (0%, 5%, 10%, and 15%) and different percentages of additives (nano-silica at 3% and 6%; cationic starch at 0.75% and 1.5%; cationic polyacrylamide at 0.07% and 0.15%). Fourteen different groups with a basis weight of 127 gsm were prepared and analyzed for their physical, mechanical, and microstructural properties. Results showed that the additives significantly impacted the properties of the paper. The highest smoothness was achieved with the combination of nano-silica and polyacrylamide, enhancing surface printability. However, the introduction of long fibers increased air resistance and decreased water absorbency, which could pose challenges in printing and machine operation. Maximum tensile and tear strength were observed in sheets with 15% long fiber pulp. Additionally, independent applications of 0.75% and 1.5% cationic starch also improved these properties. Electron microscopy revealed fewer defects in papers treated with nano-silica, though this may negatively affect water absorbency.</t>
  </si>
  <si>
    <t>Samariha, Ahmad/AAN-8195-2021; Kasmani, Jafar/AAN-7939-2021</t>
  </si>
  <si>
    <t>Samariha, Ahmad/0000-0001-7831-9992;</t>
  </si>
  <si>
    <t>AUG</t>
  </si>
  <si>
    <t>10.15376/biores.20.3.5561-5574</t>
  </si>
  <si>
    <t>WOS:001509256300013</t>
  </si>
  <si>
    <t>Sharma, A; Lee, HJ</t>
  </si>
  <si>
    <t>Sharma, Anshul; Lee, Hae-Jeung</t>
  </si>
  <si>
    <t>Antimicrobial Activity of Probiotic Bacteria Isolated from Plants: A Review</t>
  </si>
  <si>
    <t>FOODS</t>
  </si>
  <si>
    <t>Lactic acid bacteria (LAB) constitute a heterogeneous group of bacteria isolated from fermented foods, animals, plants, and mammalian guts, with many health-promoting properties. Probiotics with antagonistic properties against human pathogens and foodborne bacteria have garnered significant attention from the scientific fraternity. A dedicated review focusing on plant-derived probiotic bacteria and their antagonistic properties has not been comprehensively reviewed. Thus, this review aimed at providing an overview of LAB isolates derived from several unconventional sources such as fruits, seeds, fruit pulp, leaves, roots, vegetables, grasses, and flowers and with their antibacterial, antifungal, and antiviral properties. This paper reviewed the antimicrobial properties of different genera, Lactobacillus, Leuconostoc, Weissella, Enterococcus, Pediococcus, Bacillus, and Fructobacillus, their postbiotics, and paraprobiotics. Several important mechanisms, including the secretion of bacteriocins, bacteriocin-like substances, reuterin, organic acids (lactic and acetic), peptides, exopolysaccharides, and hydrogen peroxide, have been attributed to their antimicrobial actions against pathogens. However, their precise mode of action is poorly understood; hence, further research should be conducted to reveal detailed mechanisms. Finally, the review discusses the summary and future implications. Given the significance, LAB and derived antimicrobial compounds can potentially be exploited in food preservation and safety or for medicinal applications after evaluating their safety.</t>
  </si>
  <si>
    <t>Sharma, Anshul/0000-0003-3914-4629</t>
  </si>
  <si>
    <t>2304-8158</t>
  </si>
  <si>
    <t>10.3390/foods14030495</t>
  </si>
  <si>
    <t>WOS:001418542200001</t>
  </si>
  <si>
    <t>Hubbe, MA; Daystar, JS; Venditti, RA; Pawlak, JJ; Zambrano, MC; Barlaz, M; Ankeny, M; Pires, S</t>
  </si>
  <si>
    <t>Hubbe, Martin A.; Daystar, Jesse S.; Venditti, Richard A.; Pawlak, Joel J.; Zambrano, Marielis C.; Barlaz, Morton; Ankeny, Mary; Pires, Steven</t>
  </si>
  <si>
    <t>Biodegradability of Cellulose Fibers, Films, and Particles: A Review</t>
  </si>
  <si>
    <t>Cellulose fibers are an abundant material that is well known for its biodegradability. Various forms of cellulose, such as cotton, paper pulp fibers, and microcrystalline cellulose can be regarded as benchmarks for biodegradability, when comparing other materials. However, as revealed by the literature, broad ranges of time and extent of biodegradation have been reported for cellulose. These large ranges can be attributed not only to environmental factors but also to the presence of lignin, the degree and perfection of crystallinity, the size and density of the physical specimens, and chemical modifications to the cellulose, if any. Studies also have shown differences in biodegradability associated with the selection of test methods. Although cellulose is subject to well-known enzyme-promoted mechanisms of biodegradation, the evolution of plant materials has favored development of some resistance to decay, i.e. recalcitrance. Cellulosic materials are clearly less biodegradable than starch. However, they are more biodegradable than various synthetic or bio-based plastics, as well as some cellulose derivatives, which persist in ocean water or soils for very long periods. This review indicates that cellulose biodegradability, while generally rapid and natural, has a rate and extent that depends on a complex and sometimes subtle set of environmental and chemical factors.</t>
  </si>
  <si>
    <t>; Zambrano, Marielis/ABF-8288-2021</t>
  </si>
  <si>
    <t>Venditti, Richard/0000-0002-7986-4092;</t>
  </si>
  <si>
    <t>10.15376/biores.20.1.Hubbe</t>
  </si>
  <si>
    <t>WOS:001452828700041</t>
  </si>
  <si>
    <t>Shi, X; Hu, XH; Jiang, N; Mao, J</t>
  </si>
  <si>
    <t>Shi, Xin; Hu, Xiaohan; Jiang, Nan; Mao, Jing</t>
  </si>
  <si>
    <t>Regenerative endodontic therapy: From laboratory bench to clinical practice</t>
  </si>
  <si>
    <t>JOURNAL OF ADVANCED RESEARCH</t>
  </si>
  <si>
    <t>Background: Maintaining the vitality and functionality of dental pulp is paramount for tooth integrity, longevity, and homeostasis. Aiming to treat irreversible pulpitis and necrosis, there has been a paradigm shift from conventional root canal treatment towards regenerative endodontic therapy. Aim of review: This extensive and multipart review presents crucial laboratory and practical issues related to pulp-dentin complex regeneration aimed towards advancing clinical translation of regenerative endodontic therapy and enhancing human life quality. Key Scientific Concepts of Review: In this multipart review paper, we first present a panorama of emerging potential tissue engineering strategies for pulp-dentin complex regeneration from cell transplantation and cell homing perspectives, emphasizing the critical regenerative components of stem cells, biomaterials, and conducive microenvironments. Then, this review provides details about current clinically practiced pulp regenerative/reparative approaches, including direct pulp capping and root revascularization, with a specific focus on the remaining hurdles and bright prospects in developing such therapies. Next, special attention was devoted to discussing the innovative biomimetic perspectives opened in establishing functional tissues by employing exosomes and cell aggregates, which will benefit the clinical translation of dental pulp engineering protocols. Finally, we summarize careful consideration that should be given to basic research and clinical applications of regenerative endodontics. In particular, this review article highlights significant challenges associated with residual infection and inflammation and identifies future insightful directions in creating antibacterial and immunomodulatory microenvironments so that clinicians and researchers can comprehensively understand crucial clinical aspects of regenerative endodontic procedures.</t>
  </si>
  <si>
    <t>Shi, Xin/JHT-5742-2023; Hu, Xiaohan/AAT-4475-2021; Jiang, Nan/LDF-6447-2024</t>
  </si>
  <si>
    <t>Jiang, Nan/0000-0002-0671-6822</t>
  </si>
  <si>
    <t>2090-1232</t>
  </si>
  <si>
    <t>2090-1224</t>
  </si>
  <si>
    <t>JUN</t>
  </si>
  <si>
    <t>10.1016/j.jare.2024.07.001</t>
  </si>
  <si>
    <t>WOS:001502002000002</t>
  </si>
  <si>
    <t>Okoro, HK; Emenike, EC; Iwuozor, KO; Egbemhenghe, A; Bello-Hassan, MT; Adu, AO; Ighalo, JO; Omuku, PE; Adeniyi, AG</t>
  </si>
  <si>
    <t>Okoro, Hussein K.; Emenike, Ebuka Chizitere; Iwuozor, Kingsley O.; Egbemhenghe, Abel; Bello-Hassan, Maryam Titilayo; Adu, Ayokunle Olasunkanmi; Ighalo, Joshua O.; Omuku, Patrick E.; Adeniyi, Adewale George</t>
  </si>
  <si>
    <t>Industrial waste biochar for heavy metal and dye remediation in wastewater: an overview</t>
  </si>
  <si>
    <t>WATER PRACTICE AND TECHNOLOGY</t>
  </si>
  <si>
    <t>The amount of waste produced by various industrial processes has increased over time as a result of the growing global population and the resulting increase in industrial production. These waste materials, which include sludge from wastewater treatment facilities and lignin-rich materials from the pulp and paper industry, contain organic compounds that can be thermochemically converted into biochar (BC), a stable carbonaceous material. This conversion not only helps reduce environmental pollution but also facilitates resource recovery. Because of its distinct qualities, the resulting BC can be used as an adsorbent to reduce contaminants in a variety of environmental media. This paper offers a concise overview of the application of BC derived from industrial waste for the treatment of heavy metals and dye-contaminated wastewater. Results indicated that the BCs were predominantly generated by pyrolysis at temperatures between 200 and 900 degrees C and exhibited relatively high adsorption capabilities for both heavy metal ions and dyes. The properties of the BCs, including their surface area, high porosity, morphology, and the presence of multiple functional groups, were thoroughly explored. The adsorption mechanism, the kinetics of adsorption and desorption, and the regeneration of the BC adsorbents are also covered in the work.</t>
  </si>
  <si>
    <t>O., KINGSLEY/V-5268-2018; Adeniyi, Adewale/N-8170-2019; Emenike, Ebuka Chizitere/AAA-5358-2022; Okoro, Hussein Kehinde/JZC-6816-2024; Ighalo, Joshua/D-2551-2019; Ighalo, Joshua/D-2551-2019</t>
  </si>
  <si>
    <t>Ighalo, Joshua/0000-0002-8709-100X; Ighalo, Joshua/0000-0002-8709-100X; Emenike, Ebuka Chizitere/0000-0001-7117-3265</t>
  </si>
  <si>
    <t>1751-231X</t>
  </si>
  <si>
    <t>MAR</t>
  </si>
  <si>
    <t>10.2166/wpt.2025.037</t>
  </si>
  <si>
    <t>WOS:001456839300003</t>
  </si>
  <si>
    <t>Pandey, S; Kumar, A; Kumar, K; Krishnamoorthi, S; Tungala, K</t>
  </si>
  <si>
    <t>Pandey, Shubhangi; Kumar, Anmol; Kumar, Krishna; Krishnamoorthi, S.; Tungala, Kranthikumar</t>
  </si>
  <si>
    <t>Fabrication, characterization and flocculation properties of starch, chitosan or cellulose based graft copolymers: A review</t>
  </si>
  <si>
    <t>BIORESOURCE TECHNOLOGY REPORTS</t>
  </si>
  <si>
    <t>Wastewater treatment has been most obligatory, as food industries, pharmaceutical companies, textile mills, etc., are disposing of their wastes in water bodies. Graft copolymers, in which synthetic polymers are grafted on backbones of natural polymers of diverse sources, have come into light for contaminated water treatment. In this review article, we have mounted up various synthesis methods used, along with their corresponding mechanisms, for the fabrication of starch, chitosan or cellulose based graft copolymers. Characterization techniques that are commonly used for the confirmation of the fabricated graft copolymers have been discussed. Further, the process of flocculation, its influencing factors, and mechanisms involved in flocculation have been detailed. This review also explores the treatment of wastewater discharged from several industries, which includes toxic heavy metal ions, harmful dyes, coalmine dust, mining waste, and paper and pulp industrial middle effluent. Further, saline retention, sludge dewatering, and microalgal biomass harvesting have been detailed.</t>
  </si>
  <si>
    <t>2589-014X</t>
  </si>
  <si>
    <t>10.1016/j.biteb.2025.102023</t>
  </si>
  <si>
    <t>JAN 2025</t>
  </si>
  <si>
    <t>WOS:001399176400001</t>
  </si>
  <si>
    <t>Olas, B</t>
  </si>
  <si>
    <t>Olas, Beata</t>
  </si>
  <si>
    <t>Marula [Sclerocarya birrea (A. Rich.) Hochst.] products as a food and medicine</t>
  </si>
  <si>
    <t>FRONTIERS IN PHARMACOLOGY</t>
  </si>
  <si>
    <t>The fruit of Sclerocarya birrea (A. Rich.) Hochst., commonly known as the marula, is widely appreciated for its nutritious pulp and edible nuts. The pulp has a higher vitamin C than those of other fruits, including pineapple, guava, and oranges. In addition, fresh marula fruits are often used to produce delicious sweets, wine and flavorings: it is perhaps best known as the flavor of Amarula liqueur. In vitro and in vivo studies indicate that the various parts of marula have pro-health properties, such as antioxidant, antibacterial, antifungal, antidiabetic activities. This paper reviews the current state of knowledge regarding the marula fruit and its products, with a special emphasis on their chemical composition, biological activity and pro-health potential.</t>
  </si>
  <si>
    <t>1663-9812</t>
  </si>
  <si>
    <t>FEB 18</t>
  </si>
  <si>
    <t>10.3389/fphar.2025.1552355</t>
  </si>
  <si>
    <t>WOS:001435859100001</t>
  </si>
  <si>
    <t>Rajamanickam, R; Selvasembian, R</t>
  </si>
  <si>
    <t>Rajamanickam, Ricky; Selvasembian, Rangabhashiyam</t>
  </si>
  <si>
    <t>Insights into the potential of Chlorella species in the treatment of hazardous pollutants from industrial effluent</t>
  </si>
  <si>
    <t>WORLD JOURNAL OF MICROBIOLOGY &amp; BIOTECHNOLOGY</t>
  </si>
  <si>
    <t>Effluents from the industrial sector contain a wide range of contaminants in the medium; when they are insufficiently treated and discharged in the aquatic environment, they pollute aquatic matrices, causing deleterious effects on all the lifeforms. Industries such as tanneries, textiles, dairy, pharmaceuticals, paper and pulp, food processing, petrochemicals, iron, and steel generate wastewater containing a wide range of environmentally harmful contaminants. Chlorella species are robust species that can adapt and grow in extreme conditions and have remarkable stress response mechanism with good acclimatization and bioremediation properties. This review aims to provide new insights on the importance of Chlorella in the treatment of industrial effluents. It provides a comprehensive summary of investigations that have proved the potential of Chlorella vulgaris, Chlorella minutissima, Chlorella sorokiniana, Chlorella kessleri, Chlorella ellipsoidea, Chlorella emersonii, Chlorella pyrenoidosa in the elimination of contaminants. Furthermore, highlights the mechanisms that Chlorella undergo in the effluent medium towards the removal of various contaminants.</t>
  </si>
  <si>
    <t>Rajamanickam, Ricky/JAA-9212-2023; Selvasembian, Rangabhashiyam/N-8801-2017</t>
  </si>
  <si>
    <t>0959-3993</t>
  </si>
  <si>
    <t>1573-0972</t>
  </si>
  <si>
    <t>APR</t>
  </si>
  <si>
    <t>10.1007/s11274-025-04351-5</t>
  </si>
  <si>
    <t>WOS:001468333500001</t>
  </si>
  <si>
    <t>Chauhan, AK; Singh, SP; Rajpoot, AS; Chauhan, S; Meraj, A; Jawaid, M; Varghese, E; Kumar, V; Awad, SA</t>
  </si>
  <si>
    <t>Chauhan, Ajay Kumar; Singh, Surendra Pratap; Rajpoot, Aman Singh; Chauhan, Shailja; Meraj, Aatikah; Jawaid, M.; Varghese, Emily; Kumar, Vinay; Awad, Sameer Ahmed</t>
  </si>
  <si>
    <t>Preparation and applications of nanoparticles from lignocellulosic biomass: A review</t>
  </si>
  <si>
    <t>INTERNATIONAL JOURNAL OF BIOLOGICAL MACROMOLECULES</t>
  </si>
  <si>
    <t>The growing demand for nanomaterials has driven interest in sustainable alternatives such as Lignocellulosic biomass (LCB). As a renewable and ecofriendly resource, LCB offers great potential for producing nanomaterials through its nanostructured components (cellulose, hemicellulose, and lignin). These components can be converted into nanocellulose, nano hemicellulose, and lignin-derived nanoparticles with wide ranging applications. Nanocellulose demonstrated exceptional high-strength properties, making it valuable for the paper and pulp, packaging, drug delivery and filtration. Lignin based nanoparticles are gaining attention for their roles in biomedicine, biorefineries, and advanced nano composite materials. Additionally, LCB-derived carbon nano-materials such as carbon quantum dots show promise due to their biocompatibility and functional versatility. Despite these promising developments, challenges remain, including limited access to monomeric units and high energy demands persist in processing. Integrating chemical and biochemical processes offers more efficient and scalable nanoparticles synthesis. This review presents recent progress in LCB-derived macromolecules for nanoparticle production, focusing on synthesis methods, material properties, and emerging applications across environmental, medical, and industrial sectors.</t>
  </si>
  <si>
    <t>Rajpoot, Aman Singh/KYR-7496-2024; Fahad, Mustafa/JGM-9670-2023; Singh, Surendra/AAE-1336-2019; RAJPOOT, AMAN/KYR-7496-2024</t>
  </si>
  <si>
    <t>Rajpoot, Aman Singh/0000-0002-5747-7470; Meraj, Aatikah/0000-0002-2823-9908</t>
  </si>
  <si>
    <t>0141-8130</t>
  </si>
  <si>
    <t>1879-0003</t>
  </si>
  <si>
    <t>SEP</t>
  </si>
  <si>
    <t>10.1016/j.ijbiomac.2025.146138</t>
  </si>
  <si>
    <t>JUL 2025</t>
  </si>
  <si>
    <t>WOS:001544318600001</t>
  </si>
  <si>
    <t>Khaled, L; Ali, NM; Nader, R; Rolet, N; Sadek, ES; Farag, MA; Shoeib, T</t>
  </si>
  <si>
    <t>Khaled, Lereen; Ali, Nada M.; Nader, Reem; Rolet, Ninon; Sadek, Elizabeth S.; Farag, Mohamed A.; Shoeib, Tamer</t>
  </si>
  <si>
    <t>Valorization of agri-food crucifer vegetables waste for food, functional food and nutraceuticals applications</t>
  </si>
  <si>
    <t>BIORESOURCES AND BIOPROCESSING</t>
  </si>
  <si>
    <t>Valorization of food byproducts, especially fruits and vegetables, has recently attracted considerable attention, mostly due to their high wastage rates. Exploitation of these byproducts, including the non-edible parts of crucifer vegetables, may provide value-added opportunities in the food, functional food, and nutraceutical industries as well as in non-food applications such as therapeutics, biofuels, and paper pulp production. This review focuses on the state-of-the-art valorization practices of crucifer vegetable agro-food wastes including those of broccoli, cauliflower, cabbage, kale, Brussels sprouts, collards, watercress and radish constituting the main cultivated crucifer vegetables worldwide and suggests potential novel uses through upcycling. A detailed comparative phytochemical composition of crucifer vegetable waste products as potential sources of raw materials in promising applications including the production of food enhancers, and antioxidants is presented. Different extraction techniques combining downstream and white biotechnology processes for the optimum utilization of such agro-food waste are discussed. The valorization of cruciferous vegetables by-products is shown to be economical, sustainable and a viable approach to unlock novel applications across diverse industries. To fully maximize the potential of these underutilized resources and promote an ecological bioeconomy, more research and development into extraction methods and upcycling techniques is needed</t>
  </si>
  <si>
    <t>Shoeib, Tamer/AHE-8042-2022; farag, mohamed abdelfatah/GWC-8347-2022</t>
  </si>
  <si>
    <t>M Ali, Nada/0009-0003-3759-5757;</t>
  </si>
  <si>
    <t>2197-4365</t>
  </si>
  <si>
    <t>JUN 1</t>
  </si>
  <si>
    <t>10.1186/s40643-025-00895-4</t>
  </si>
  <si>
    <t>WOS:001499531300001</t>
  </si>
  <si>
    <t>Liu, Q; Zhang, XS; Han, LJ</t>
  </si>
  <si>
    <t>Liu, Quan; Zhang, Xuesong; Han, Lujia</t>
  </si>
  <si>
    <t>From black to green-A critical review of thermochemical valorization of black liquor</t>
  </si>
  <si>
    <t>CHEMICAL ENGINEERING JOURNAL</t>
  </si>
  <si>
    <t>The global pulp and paper industry and biomass utilization sectors have undergone substantial expansion in recent decades, leading to the massive generation of black liquor-a hazardous alkaline pulping intermediate with complex chemical composition and significant environmental risks. Meanwhile this carbon-rich effluent represents an underutilized resource for sustainable valorization. This review critically evaluates the state-of-theart thermochemical valorization techniques, including combustion, gasification, pyrolysis, and hydrothermal routes, for transforming black liquor into bioenergy, chemicals, and functional materials. A comparative analysis is conducted to examine the technical characteristics, advantages, and limitations of each technique, while also exploring the potential for co-processing strategies to enhance efficiency and product diversity. Additionally, the applications of valorization products are discussed, highlighting their role in creating sustainable and diversified bio-based materials. To assess the feasibility of these techniques, techno-economic analysis and life-cycle assessment are synthesized, revealing critical trade-offs between energy efficiency, capital expenditure, and environmental impact. Emerging innovations such as artificial intelligence-driven process optimization, regionalized biorefinery network, catalytic system engineering, and hybrid systems are identified as pivotal drivers for overcoming existing technological bottlenecks. By outlining future research directions and technological milestones, this review provides a foundational framework for the development of sustainable thermochemical valorization strategies for black liquor.</t>
  </si>
  <si>
    <t>1385-8947</t>
  </si>
  <si>
    <t>1873-3212</t>
  </si>
  <si>
    <t>SEP 1</t>
  </si>
  <si>
    <t>10.1016/j.cej.2025.165451</t>
  </si>
  <si>
    <t>WOS:001525706800003</t>
  </si>
  <si>
    <t>Hai, LV; Srikanth, N; Le, TDT; Park, SH; Kim, TH</t>
  </si>
  <si>
    <t>Hai, Le Van; Srikanth, Narayanan; Le, Tin Diep Trung; Park, Seung Hyeon; Kim, Tae Hyun</t>
  </si>
  <si>
    <t>Transparent Wood Fabrication and Applications: A Review</t>
  </si>
  <si>
    <t>MOLECULES</t>
  </si>
  <si>
    <t>Wood cellulose is an abundant bio-based resource with diverse applications in construction, cosmetics, packaging, and the pulp and paper industries. Transparent wood (TW) is a novel, high-quality wood material with several advantages over traditional transparent materials (e.g., glass and plastic). These benefits include renewability, UV shielding, lightweight properties, low thermal expansion, reduced glare, and improved mechanical strength. TW has significant potential for various applications, including transparent roofs, windows, home lighting structures, electronic devices, home decoration, solar cells, packaging, smart packaging materials, and other high-value-added products. The mechanical properties of TW, such as tensile strength and optical transmittance, are typically up to 500 MPa (Young's modulus of 50 GPa) and 10-90%, respectively. Fabrication methods, wood types, and processing conditions significantly influence the mechanical and optical properties of TW. In addition, recent research has highlighted the feasibility of TW and large-scale production, making it an emerging research topic for future exploration. This review attempted to provide recent and updated manufacturing methods of TW as well as current and future applications. In particular, the effects of structural modification through various chemical pretreatment methods and impregnation methods using various polymers on the properties of TW biocomposites were also reviewed.</t>
  </si>
  <si>
    <t>Kim, Tae/F-8815-2017; Le Van, Hai/N-5642-2017; Kim, Tae Hyun/F-8815-2017; Srikanth, Narayanam/JED-5003-2023; SRIKANTH, NARAYANAM/JED-5003-2023</t>
  </si>
  <si>
    <t>Kim, Tae Hyun/0000-0002-2225-1199; SRIKANTH, NARAYANAM/0000-0002-3976-4978; Park, Seung Hyeon/0000-0003-4304-4241</t>
  </si>
  <si>
    <t>1420-3049</t>
  </si>
  <si>
    <t>MAR 28</t>
  </si>
  <si>
    <t>10.3390/molecules30071506</t>
  </si>
  <si>
    <t>WOS:001463947300001</t>
  </si>
  <si>
    <t>Di Martino, A; Ozaltin, K; Hua, LS; Prianto, AH; Syahidah; Rochima, E; Farobie, O; Fatriasari, W</t>
  </si>
  <si>
    <t>Di Martino, Antonio; Ozaltin, Kadir; Hua, Lee Seng; Prianto, Arief Heru; Syahidah; Rochima, Emma; Farobie, Obie; Fatriasari, Widya</t>
  </si>
  <si>
    <t>Lignin-based hydrogels for application in agriculture: A review</t>
  </si>
  <si>
    <t>Agriculture is an important sector for maintaining environmental sustainability and ensuring global food security. However, the sector faces significant challenges caused by soil degradation, water scarcity, and resource limitations. To overcome the challenges, several studies have shown that innovative materials, including hydrogels, have the ability to improve agricultural practices. Lignin, the sole polyaromatic biopolymer, and the second most abundant biopolymer, has been extensively explored for a wide range of applications. For example, lignin valorization represents a significant issue for lignocellulosic biorefineries as well as the pulp and paper industry. This has led to an increase in interest over the past decade in its utilization to create innovative, advanced smart materials. Therefore, this study aims to discuss the applications, advantages, and possibilities of lignin-based hydrogels in addressing the primary difficulties of contemporary agriculture to increase sustainability. The initial section of the study discussed the introduction of lignin and its isolation methods, followed by an in-depth examination of polymeric hydrogels, encompassing their composition and applications in agriculture. The third section focused on lignin-based hydrogels, detailing preparation procedures for their primary application in agriculture. This study also analyzed the progress in lignin-based hydrogels over the past decade and provided a relevant assessment of the promising material.</t>
  </si>
  <si>
    <t>Fatriasari, Widya/AAQ-5462-2020; Lee, Seng Hua/V-1016-2019; Farobie, Obie/ABG-7721-2021; di martino, antonio/S-4316-2019</t>
  </si>
  <si>
    <t>10.1016/j.ijbiomac.2025.141744</t>
  </si>
  <si>
    <t>WOS:001441716700001</t>
  </si>
  <si>
    <t>Han, YC; Li, ZR; Long, Y; Zhong, W; Zhang, C; Wu, WJ</t>
  </si>
  <si>
    <t>Han, Yuchen; Li, Zhangru; Long, Yu; Zhong, Wei; Zhang, Cheng; Wu, Wenjuan</t>
  </si>
  <si>
    <t>A review on the application of lignin-based carbon materials in supercapacitors: Fabrication of multi-dimensional morphologies and heteroatom doping</t>
  </si>
  <si>
    <t>Supercapacitors are essential components in renewable energy storage systems due to their remarkable power density, swift charging/discharging speeds, extended lifespan across cycles, and ability to function effectively under diverse temperature conditions. Lignin, the second most plentiful biomass resource in nature following cellulose, is renowned for its wide availability, cost-effectiveness, and a rich array of bioactive components. It can be abundantly sourced as a by-product of pulp and biomass refineries. Given the growing concerns over environmental pollution and energy depletion, lignin is increasingly being recognized as a viable alternative to conventional petrochemical feedstocks. This paper presents a comprehensive overview of supercapacitors, outlining their fundamental principles and classification. This study delves into the structural characteristics and origins of lignin, highlighting the potential for optimizing crystallinity and properties of carbon materials derived from lignin through meticulous modifications of structural and carbonization parameters. This approach facilitates the tailored synthesis of polymorphic carbon materials, resulting in improved performance characteristics. Furthermore, the study investigates the substantial impact of non-metallic doping elements, including sulfur, phosphorus, and nitrogen, in conjunction with metallic elements such as copper, manganese, and nickel, on the enhancement of the electrochemical properties of carbon materials derived from lignin.</t>
  </si>
  <si>
    <t>Wu, Wenjuan/MIT-5669-2025; yuchen, han/OHY-7033-2025</t>
  </si>
  <si>
    <t>10.1016/j.ijbiomac.2025.144029</t>
  </si>
  <si>
    <t>WOS:001510389900001</t>
  </si>
  <si>
    <t>Gu, GH; Chen, JY; Guo, MC; Wang, YH</t>
  </si>
  <si>
    <t>Gu, Guohua; Chen, Jianyu; Guo, Mengchi; Wang, Yanhong</t>
  </si>
  <si>
    <t>A review of phyllosilicate minerals in flotation: Mechanisms of deleterious effect and mitigation method</t>
  </si>
  <si>
    <t>MINERALS ENGINEERING</t>
  </si>
  <si>
    <t>High content of phyllosilicate minerals has a deleterious effect on the mineral flotation process. In clay science, with increasing the solid concentration, phyllosilicate mineral particles associate into different network structures, according to the relative potentials and positions of basal faces and edge faces, which plays a dominant role in the flow behaviour of pulp. In this paper, the effect of phyllosilicate minerals on flotation is reviewed through entrainment, slime coating and pulp rheology. The methods for mitigating the deleterious effect of phyllosilicate minerals in flotation are also discussed microscopically and macroscopically. However, merging phyllosilicate mineralogy to their metallurgical effects is an area with even less conclusive outcomes to date. Based on this, understanding the phyllosilicate mineralogy would fortifying the research from phyllosilicate mineralogy to the network structure, rheology and flotation. Thus, selective altering the network structure of phyllosilicate minerals would be a promising method in enhancing the overall flotation performance with high content of phyllosilicate minerals, since the network structures could be able to combine the microscopic surface potentials with macroscopic pulp rheology together.</t>
  </si>
  <si>
    <t>0892-6875</t>
  </si>
  <si>
    <t>10.1016/j.mineng.2025.109180</t>
  </si>
  <si>
    <t>WOS:001413279500001</t>
  </si>
  <si>
    <t>Babinskas, J; Matijosyte, I</t>
  </si>
  <si>
    <t>Babinskas, Justinas; Matijosyte, Inga</t>
  </si>
  <si>
    <t>Laccase Functional Analysis: Substrates, Activity Assays, Challenges, and Prospects</t>
  </si>
  <si>
    <t>CHEMBIOCHEM</t>
  </si>
  <si>
    <t>Enzyme functional analysis is a multifaceted process that can be used for various purposes, such as screening for specific activities, as well as developing, optimising, and validating processes or final products. Functional analysis methods are crucial for assessing enzyme performance and catalytic properties. Laccase, a well-known blue multi-copper oxidase, holds immense potential in diverse industries such as pharmaceuticals, paper and pulp, food and beverages, textiles, and biorefineries due to its clean oxidation process and versatility in handling a wide range of substrates. Despite its prominence, the use of laccase encounters challenges in selecting appropriate functional analysis substrates and methods. This review delves into the substrates utilised in qualitative and quantitative techniques for laccase activity analysis. Although laccase catalyses mono-electron oxidation of aromatic hydroxyl, amine, and thiol compounds efficiently, using molecular oxygen as an electron acceptor, the review identifies limitations in the specificity of the commonly employed substrates, concerns regarding the stability of certain compounds and highlights potential strategies.</t>
  </si>
  <si>
    <t>; Babinskas, Justinas/NDR-9965-2025</t>
  </si>
  <si>
    <t>Babinskas, Justinas/0000-0003-3111-2702; Matijošytė, Inga/0000-0002-9667-7774;</t>
  </si>
  <si>
    <t>1439-4227</t>
  </si>
  <si>
    <t>1439-7633</t>
  </si>
  <si>
    <t>APR 1</t>
  </si>
  <si>
    <t>10.1002/cbic.202400939</t>
  </si>
  <si>
    <t>FEB 2025</t>
  </si>
  <si>
    <t>WOS:001412861500001</t>
  </si>
  <si>
    <t>Zhang, HJ; Ming, JJ; Zhang, HX; Fang, SYH; Liu, QW; Zhang, HY</t>
  </si>
  <si>
    <t>Zhang, Hui-Juan; Ming, Jing-Jie; Zhang, Hong-Xiao; Fang, Shao-YI-Han; Liu, Quan-Wen; Zhang, Hong-Yan</t>
  </si>
  <si>
    <t>A Comprehensive Review: Advances in Mesenchymal Stem Cell Applications for Burn Wound Repair</t>
  </si>
  <si>
    <t>STEM CELLS INTERNATIONAL</t>
  </si>
  <si>
    <t>Tissue repair following skin injury is a complex process that encompasses hemostasis, inflammation, tissue cell proliferation, and structural remodeling. Mesenchymal stem cells (MSCs) are derived from the mesodermal layer of tissues and possess multidirectional differentiation potential and self-renewal capabilities. MSCs from various sources, including the bone marrow, adipose tissue, dental pulp, umbilical cord, and amniotic membrane, have demonstrated effectiveness in promoting skin injury repair. They aid in this process by fostering the formation of new blood vessels in damaged tissues, self-renewal, or transdifferentiation into skin or sweat gland cells. Moreover, MSCs promote the proliferation and migration of skin cells, reduce wound inflammation, and restore the extracellular matrix through paracrine secretion. In this paper, we review recent findings regarding MSCs and their role in burn wound repair. Additionally, we explore the potential of combining MSCs with various biomaterials for treating burn wounds and analyze clinical cases wherein MSCs were administered to patients, offering insights into ongoing research on MSC-based therapies for skin injuries.</t>
  </si>
  <si>
    <t>Hongxiao, Zhang/LRT-6862-2024</t>
  </si>
  <si>
    <t>Min, JingJie/0009-0005-7653-6674</t>
  </si>
  <si>
    <t>1687-966X</t>
  </si>
  <si>
    <t>1687-9678</t>
  </si>
  <si>
    <t>10.1155/sci/6683745</t>
  </si>
  <si>
    <t>WOS:001448748900001</t>
  </si>
  <si>
    <t>Selmi, H; Presutto, E; Totaro, M; Spano, G; Capozzi, V; Fragasso, M</t>
  </si>
  <si>
    <t>Selmi, Hiba; Presutto, Ester; Totaro, Martina; Spano, Giuseppe; Capozzi, Vittorio; Fragasso, Mariagiovanna</t>
  </si>
  <si>
    <t>Apple Waste/By-Products and Microbial Resources to Promote the Design of Added-Value Foods: A Review</t>
  </si>
  <si>
    <t>Apple fruit is among the most consumed fruits in the world, both in fresh and processed forms (e.g., ready-to-eat fresh slices, juice, jam, cider, and dried slices). During apple consumption/processing, a significant amount of apple residue is discarded. These residues can also be interesting materials to exploit, particularly for direct valorization in the design of added-value foods. In fact, apple waste/by-products are rich in essential components, including sugars, proteins, dietary fibers, and phenolic compounds, as they comprise apple peels, seeds, and pulp (solid residue of juice production). In this sense, the current review paper presents an overview of the nutritional composition of apple waste/by-products, and mainly apple pomace, highlighting their application in producing value-added products through microbial biotechnology. If appropriately managed, apple by-products can generate a variety of useful compounds required in food (as well as in feed, pharmaceutics, and bioenergy). Recent strategies for the synergic use of apple waste/by-products and microbial resources such as lactic acid bacteria and yeasts are discussed. This review contributes to defining a reference framework for valorizing apple waste/by-products from a circular economy perspective through the application of bioprocesses (e.g., fermentation), mainly oriented towards designing foods with improved quality attributes.</t>
  </si>
  <si>
    <t>Capozzi, Vittorio/M-4290-2013; Capozzi, Vittorio/AAG-3291-2019; Spano, Giuseppe/H-7487-2015</t>
  </si>
  <si>
    <t>Capozzi, Vittorio/0000-0002-0717-0753; Fragasso, Mariagiovanna/0000-0002-1819-120X; Spano, Giuseppe/0000-0003-1507-9869</t>
  </si>
  <si>
    <t>MAY 22</t>
  </si>
  <si>
    <t>10.3390/foods14111850</t>
  </si>
  <si>
    <t>WOS:001505839600001</t>
  </si>
  <si>
    <t>Hawanis, HSN; Shamimimraphay, SHR; Ilyas, RA; Rajeshkumar, L; Abotbina, W; Haron, S; Samsudin, SA; Shamjuddin, A; Rangappa, SM; Siengchin, S; Mahardika, M</t>
  </si>
  <si>
    <t>Hawanis, H. S. N.; Shamimimraphay, Shahul Hameed Raphay; Ilyas, R. A.; Rajeshkumar, L.; Abotbina, Walid; Haron, Saharudin; Samsudin, Sani Amril; Shamjuddin, Amnani; Rangappa, Sanjay Mavinkere; Siengchin, Suchart; Mahardika, Melbi</t>
  </si>
  <si>
    <t>The Potential of Biomass Sugar Palm (Arenga pinnata) in Papermaking and Their Potential Industrial Applications: A Review</t>
  </si>
  <si>
    <t>CHEMBIOENG REVIEWS</t>
  </si>
  <si>
    <t>As global paper demand surges, conventional wood pulp methods raise deforestation concerns. This study explores the potential of sugar palm (SP) (Arenga pinnata) fibers, particularly in Malaysia, as a sustainable alternative for papermaking. SP, known for its versatility in food products and biofiber production, offers an eco-friendly option. It is also used for bioethanol, providing renewable energy sources. The research highlights SP biofibers as viable raw materials for the pulp and paper industry, emphasizing their seawater resistance, durability, and natural availability in woven forms. Its fibers exhibit seawater resistance, durability, and natural woven availability, with cellulose content of 45-60%, hemicellulose of 10-17%, and lignin of 16-30%, indicating strong suitability for papermaking. Comprehensive evaluation of SP properties, treatment approaches, and pulping processes demonstrates its role as a viable non-wood source, especially for forest-deficient regions. Beyond technical aspects, the study emphasizes environmental benefits, highlighting how SP utilization could reduce reliance on wood, mitigate deforestation, and foster sustainable industrial practices. This review bridges academic research on SP biomass with industrial applications, outlining current challenges, opportunities, and future directions for integrating non-wood fibers into industrial papermaking.</t>
  </si>
  <si>
    <t>Mahardika, Melbi/AAN-5170-2020; HARON, SAHARUDIN/J-6937-2012; RUSHDAN, AHMAD ILYAS/P-1345-2019; Siengchin, habil./X-2479-2018; Shamjuddin, Amnani/HLP-4733-2023; Mavikere Rangappa, Sanjay/N-4096-2016; Hawanis, HSN/OKS-4189-2025; Samsudin, Sani/AAY-9137-2020</t>
  </si>
  <si>
    <t>2196-9744</t>
  </si>
  <si>
    <t>2025 OCT 10</t>
  </si>
  <si>
    <t>10.1002/cben.70030</t>
  </si>
  <si>
    <t>OCT 2025</t>
  </si>
  <si>
    <t>WOS:001590786100001</t>
  </si>
  <si>
    <t>Leontieff, DA; Ikehata, K; Inanaga, Y; Furukawa, S</t>
  </si>
  <si>
    <t>Leontieff, Daniel A.; Ikehata, Keisuke; Inanaga, Yasutaka; Furukawa, Seiji</t>
  </si>
  <si>
    <t>Ozone for Industrial Wastewater Treatment: Recent Advances and Sector Applications</t>
  </si>
  <si>
    <t>PROCESSES</t>
  </si>
  <si>
    <t>Ozonation and ozone-based advanced oxidation processes, including ozone/hydrogen peroxide and ozone/ultraviolet irradiation, have been extensively studied for their efficacy in treating wastewater across various industries. While sectors such as pulp and paper, textile, food and beverage, microelectronics, and municipal wastewater have successfully implemented ozone at full scale, others have yet to fully embrace these technologies' effectiveness. This review article examines recent publications from the past two decades, exploring novel applications of ozone-based technologies in treating wastewater from diverse sectors, including food and beverage, agriculture, aquaculture, textile, pulp and paper, oil and gas, medical and pharmaceutical manufacturing, pesticides, cosmetics, cigarettes, latex, cork manufacturing, semiconductors, and electroplating industries. The review underscores ozone's broad applicability in degrading recalcitrant synthetic and natural organics, thereby reducing toxicity and enhancing biodegradability in industrial effluents. Additionally, ozone-based treatments prove highly effective in disinfecting pathogenic microorganisms present in these effluents. Continued research and application of these ozonation and ozone-based advanced oxidation processes hold promise for addressing environmental challenges and advancing sustainable wastewater management practices globally.</t>
  </si>
  <si>
    <t>Ikehata, Keisuke/0000-0001-9101-9775</t>
  </si>
  <si>
    <t>2227-9717</t>
  </si>
  <si>
    <t>JUL 23</t>
  </si>
  <si>
    <t>10.3390/pr13082331</t>
  </si>
  <si>
    <t>WOS:001557557900001</t>
  </si>
  <si>
    <t>Paramanik, P; Samal, K; Debbarma, SR</t>
  </si>
  <si>
    <t>Paramanik, Puja; Samal, Kulbhushan; Debbarma, Swarup Ranjan</t>
  </si>
  <si>
    <t>Technologies accessible for major commodity manufacturing industries to mitigate effluents: a comprehensive review to emphasize the disparity between efficiency and life cycle of the process</t>
  </si>
  <si>
    <t>WATER SCIENCE AND TECHNOLOGY</t>
  </si>
  <si>
    <t>Industrial activities generate significant volumes of wastewater with various heavy metals, suspended solids, oils, tannins, toxic chemicals, organic and inorganic compounds, often with elevated biochemical oxygen demand (BOD) and chemical oxygen demand (COD) levels. This study mainly focuses on providing an in-depth review of the characteristics of effluents, available treatment processes, and regulatory frameworks for managing five common commodity manufacturing industry effluents (textile, pulp and paper, dye, leather, and rice mill). All these manufacturing industries consume large amounts of water and subsequently produce tons of effluents. Direct disposal of these effluents in the open environment poses potential hazards to the environment and human health and requires mitigation before discharge. Different conventional technologies are available to treat these effluents, which are associated with certain merits and demerits and highlighted here. The review also emphasized the most frequently applied process technologies to reduce BOD and COD load from the effluents of particular industries, with their limitations. Therefore, assessing economically viable and sustainable wastewater treatment approaches is crucial. It is concluded that conducting cost-benefit analysis in terms of BOD and COD removal efficiency and life cycle assessment is a must to select the most economical and sustainable solutions for the existence of any technology.</t>
  </si>
  <si>
    <t>Samal, Kulbhushan/E-5526-2019</t>
  </si>
  <si>
    <t>0273-1223</t>
  </si>
  <si>
    <t>1996-9732</t>
  </si>
  <si>
    <t>SEP 15</t>
  </si>
  <si>
    <t>10.2166/wst.2025.132</t>
  </si>
  <si>
    <t>WOS:001585496400001</t>
  </si>
  <si>
    <t>Fuentalba, C; Ferrer, V; Arteaga-Perez, LE; Santos, J; Delgado, N; Casas-Ledón, Y; Bravo-Arrepol, G; Pereira, M; Andrade, A; Escobar-Avello, D; Cabrera-Barjas, G</t>
  </si>
  <si>
    <t>Fuentalba, Cecilia; Ferrer, Victor; Arteaga-Perez, Luis E.; Santos, Jorge; Delgado, Nacarid; Casas-Ledon, Yannay; Bravo-Arrepol, Gaston; Pereira, Miguel; Andrade, Andrea; Escobar-Avello, Danilo; Cabrera-Barjas, Gustavo</t>
  </si>
  <si>
    <t>Actualized Scope of Forestry Biomass Valorization in Chile: Fostering the Bioeconomy</t>
  </si>
  <si>
    <t>FORESTS</t>
  </si>
  <si>
    <t>Chile is among the leading global exporters of pulp and paper, supported by extensive plantations of Pinus radiata and Eucalyptus spp. This review synthesizes recent progress in the valorization of forestry biomass in Chile, including both established practices and emerging bio-based applications. It highlights advances in lignin utilization, nanocellulose production, hemicellulose processing, and tannin extraction, as well as developments in thermochemical conversion technologies, including torrefaction, pyrolysis, and gasification. Special attention is given to non-timber forest products and essential oils due to their potential bioactivity. Sustainability perspectives, including Life Cycle Assessments, national policy instruments such as the Circular Economy Roadmap and Extended Producer Responsibility (REP) Law, are integrated to provide context. Barriers to technology transfer and industrial implementation are also discussed. This work contributes to understanding how forestry biomass can support Chile's transition toward a circular bioeconomy.</t>
  </si>
  <si>
    <t>Arteaga-Pérez, Luis/I-8447-2019; Cabrera, Gustavo/A-6578-2009; Bravo Arrepol, Gaston/IVH-2902-2023; Delgado, Nacarid/ABA-6709-2020; Escobar-Avello, Danilo/F-2642-2019; Cabrera-Barjas, Gustavo/A-6578-2009; Pereira, Miguel/R-8300-2017; Casas-Ledón, Yannay/ABA-1015-2021</t>
  </si>
  <si>
    <t>Santos, Jorge/0000-0003-4036-7686; Cabrera, Gustavo/0000-0002-1850-0244; Escobar-Avello, Danilo/0000-0002-6205-9011; Pereira, Miguel/0000-0003-0618-6259; ARTEAGA PEREZ, LUIS E/0000-0003-3982-4165; Anade, Anea/0000-0001-6140-7785; Ferrer Villasmil, Victor José/0000-0002-5437-461X; Casas Ledon, Yannay/0000-0001-9140-290X; Fuentealba, Cecilia/0000-0002-1763-9463</t>
  </si>
  <si>
    <t>1999-4907</t>
  </si>
  <si>
    <t>10.3390/f16081208</t>
  </si>
  <si>
    <t>WOS:001558635100001</t>
  </si>
  <si>
    <t>Darkwah, WK; Appiagyei, AB; Kofie, SN; Akrofi, ST; Anang, DA; Teye, GK; Puplampu, JB</t>
  </si>
  <si>
    <t>Darkwah, Williams Kweku; Appiagyei, Alfred Bekoe; Kofie, Samuel Nartey; Akrofi, Samuel Twum; Anang, Daniel Adjah; Teye, Godfred Kwesi; Puplampu, Joshua Buer</t>
  </si>
  <si>
    <t>Single Atom and Nanocluster Photocatalysts for Hydrogen Peroxide Synthesis under Visible Light</t>
  </si>
  <si>
    <t>ACS ENGINEERING AU</t>
  </si>
  <si>
    <t>The utilization of single-atom and nanocluster catalysis in various chemical processing industries and applications is well-established. Their monodispersity and well-defined arrangement facilitate their interrogation of the fundamental physical properties necessary for the significant application in structural composites, electrical devices and catalytic chemical reactions, particularly in high-temperature environments. Hydrogen peroxide (H2O2) stands out as a highly effective oxidizing agent, distinguished by its environmentally benign nature, as it yields only water as a byproduct postredox process. Their versatility of H2O2 spans diverse fields including pulp and paper bleaching, disinfection, detergent formulation, chemical synthesis, textile manufacturing and electronic production. This paper aims to elucidate recent advancements in engineering single-atoms and nanocluster-based photocatalysts, emphasizing their evolving structural modification strategies, catalytic mechanisms, synthesis methodologies and the mechanisms underlying H2O2 production. Furthermore, this review underscores the potential future application of these catalysts in environmental treatment, particularly in the context of H2O2 production. By focusing on the functionality and efficacy of employing SACs for H2O2 production, this study aims to inform the development of future implementations to mitigate environmental impacts. Consequently, these materials emerge as promising candidates for environmentally friendly applications including refined fuel production and associated environmental treatment processes.</t>
  </si>
  <si>
    <t>Puplampu, Joshua/JFJ-1987-2023; DARKWAH, WILLIAMS KWEKU/K-5063-2018; Darkwah, Williams Kweku/K-5063-2018; Anang, Daniel Adjah/HZM-1815-2023; Puplampu, Joshua B/M-9674-2016; Teye, Godfred/JAA-9342-2023</t>
  </si>
  <si>
    <t>Darkwah, Williams Kweku/0000-0003-0287-6965; Puplampu, Joshua B/0000-0002-2426-3185;</t>
  </si>
  <si>
    <t>2694-2488</t>
  </si>
  <si>
    <t>FEB 10</t>
  </si>
  <si>
    <t>10.1021/acsengineeringau.4c00017</t>
  </si>
  <si>
    <t>WOS:001417467400001</t>
  </si>
  <si>
    <t>Medeiros, JR; Paes, JB; Neto, PNM; Araujo, CP; França, TSFA; Lopez, YM; Andrade, JKB; Figueiredo, DL</t>
  </si>
  <si>
    <t>Medeiros, Jaqueline R.; Paes, Juarez B.; Neto, Pedro N. Medeiros; Araujo, Caroline P.; Franca, Tamara S. F. A.; Lopez, Yonny M.; Andrade, Jaily K. B.; Figueiredo, Damielle L.</t>
  </si>
  <si>
    <t>Durability of Heat-Treated Eucalyptus Wood against Decay Fungi</t>
  </si>
  <si>
    <t>Eucalyptus hybrids exhibit rapid growth, and their wood is widely used in construction, furniture production, reconstituted panels, energy, pulp, and paper manufacturing. However, they are commonly affected by decay fungi, which reduce their durability, jeopardizing the integrity of structures and the safety of individuals. Therefore, this study aimed to evaluate the effects of thermal treatment on the biological resistance of 14-year-old hybrid Eucalyptus clone wood. Chemical analyses were conducted on the wood (lignin and holocellulose), and tests with brown rot fungi (Gloeophyllum trabeum and Rhodonia placenta) and white rot fungi (Irpex lacteus) were performed over 12 weeks, along with colorimetric variable assessments. It was concluded that brown rot fungi caused more severe damage to the wood, also influencing its coloration. Under the conditions studied, a temperature of 200 degrees C promoted wood deterioration of the clones by xylophagous fungi. Regarding resistance classes, the clones were classified as highly resistant (A, C, and E) to the fungus 1. lacteus, regardless of heat treatment. For the fungi G. trabeum and R. placenta, the clones detected as highly resistant (A and C) were those exposed to a temperature of 185 degrees C.</t>
  </si>
  <si>
    <t>Lopez, Yonny/ABD-7518-2022; de Medeiros Neto, Pedro/ABI-3008-2020; Paes, Juarez/P-6935-2018</t>
  </si>
  <si>
    <t>10.15376/biores.20.4.10051-10068</t>
  </si>
  <si>
    <t>WOS:001603172900027</t>
  </si>
  <si>
    <t>Al Shehhi, A; Souissi, Y; Nair, AS; Usmani, Z; Sharma, M; Sivakumar, N</t>
  </si>
  <si>
    <t>Al Shehhi, Ameera; Souissi, Yasmine; Nair, Anu Sadasivan; Usmani, Zeba; Sharma, Minaxi; Sivakumar, Nallusamy</t>
  </si>
  <si>
    <t>Microbial lipid-based biodiesel production using wastewater: opportunities and challenges</t>
  </si>
  <si>
    <t>Rising environmental concerns and fossil fuel depletion necessitate the search for sustainable, alternative energy sources. Biodiesel is emerging as a viable alternative owing to its biodegradability, low toxicity, and reduced greenhouse gas emissions. This review highlights the environmental and economic advantages of biodiesel, with a special emphasis on microbial lipids from wastewater as a promising third-generation feedstock. The novelty of this review is the comprehensive evaluation of wastewater and sewage sludge as low-cost, nutrient-rich substrates for microbial lipid production. In this review, the biodiesel production by direct lipid extraction and microbial conversion routes is discussed. Biodiesel production from different types of industrial wastewaters, such as municipal, dairy, pulp and paper, brewery, and textile wastewater using oleaginous microorganisms is discussed as well. This review revealed that lipid content in different microbes ranged from 27 to 90% when different wastewaters were used as substrates. Further, this review compares the fuel properties of biodiesel derived from plant oils, animal fats, and microbial lipids, their fatty acid profiles, and estimated production costs, and it varies from 0.1 to 0.83 USD/L. In addition, this review also focuses on the biodiesel production from wastewater using microalgae, fungi, and bacteria. Biodiesel with a high cetane number of 64.47 was produced by Cryptococcus curvatus. Finally, key challenges in producing biodiesel from wastewater and future prospects are discussed, emphasizing the potential of wastewater as a substrate for sustainable biodiesel production.</t>
  </si>
  <si>
    <t>; Nallusamy, Sivakumar/N-2497-2019; Souissi, Yasmine/ABF-1356-2020; Sharma, Minaxi/L-9405-2019; USMANI, ZEBA/AAE-9309-2020</t>
  </si>
  <si>
    <t>Nallusamy, Sivakumar/0000-0003-3996-5937;</t>
  </si>
  <si>
    <t>JUL 4</t>
  </si>
  <si>
    <t>10.1186/s40643-025-00897-2</t>
  </si>
  <si>
    <t>WOS:001523058200002</t>
  </si>
  <si>
    <t>Kumar, V; Verma, P</t>
  </si>
  <si>
    <t>Kumar, Vineet; Verma, Pradeep</t>
  </si>
  <si>
    <t>Harnessing Phytoremediation for Sustainable Management of Chlorolignin-Contaminated Environment: Bridging the Gap between Environmental Technology and Eco-Restoration</t>
  </si>
  <si>
    <t>ENVIRONMENTAL QUALITY MANAGEMENT</t>
  </si>
  <si>
    <t>The eco-restoration of sites polluted with chlorolignin waste generated by the pulp and paper industry (PPI) has emerged as a persistent global challenge, requiring urgent attention from the scientific community. Traditional waste management approaches are currently ineffective in the complete decontamination of chlorolignin waste-polluted sites. Phytoremediation has been broadly considered a possible emerging, inexpensive, and green biotechnological tool to immobilize, degrade, and/or remediate heavy metals and chlorolignin compounds from the contaminated sites. Several articles about the assessment of the phytoremediation efficacy of plants to remediate waste pollutants from PPI have been published. However, accumulation, detoxification, or removal of chloroorganics, including heavy metals, by plants from polluted water, soil, and sludge has not been reviewed extensively. The primary aim of this article is to critically review the feasibility of using aquatic and terrestrial plants applied for the management and eco-restoration of sites polluted with chlorolignin pollutants discharged in PPI waste and identify areas for further studies. The significance of ongoing screening of novel indigenous plants, especially those previously unnoticed as weeds, has been emphasized. Further, this review provides additional information about the ultrastructural and biochemical changes of certain species of plants that can cope with these stressful conditions posed by the high concentrations of chemical contaminants present in PPIW-polluted sites. The current challenges associated with restoring polluted sites using plants have been discussed. The current review, for the first time, focuses strictly on cleaning up contaminated environments or rendering them harmless chlorolignin waste-polluted sites with phytoremediation technology.</t>
  </si>
  <si>
    <t>Agrawal, Komal/HHR-9684-2022</t>
  </si>
  <si>
    <t>1088-1913</t>
  </si>
  <si>
    <t>1520-6483</t>
  </si>
  <si>
    <t>e70138</t>
  </si>
  <si>
    <t>10.1002/tqem.70138</t>
  </si>
  <si>
    <t>WOS:001572687300003</t>
  </si>
  <si>
    <t>Jia, YQ; Zhao, S</t>
  </si>
  <si>
    <t>Jia, Yueqing; Zhao, Shen</t>
  </si>
  <si>
    <t>Enhancement of Photo- and Electrocatalytic H2O2 Production by the Reversible Catechol-to-o-Benzoquinone Transformation in Polydopamine</t>
  </si>
  <si>
    <t>CHEMISTRYSELECT</t>
  </si>
  <si>
    <t>H2O2 is an environmentally benign oxidant widely used in organic synthesis, wastewater treatment, disinfection, and the pulp and paper industry. While the industrial anthraquinone process enables large-scale production of concentrated H2O2 (30-70 wt%), it remains energy- and capital-intensive due to its multi-step nature, involving hydrogenation, oxidation, separation, concentration, and purification. Consequently, there is increasing interest in developing sustainable and decentralized methods for producing dilute H2O2 (0.1-20 wt%) directly from H2O or O-2. Light- and electricity-driven O-2 reduction and/or H2O oxidation processes have emerged as promising strategies for efficient and cost-effective H2O2 generation. However, these approaches often suffer from low H2O2 selectivity due to competing side reactions. Recent studies suggest that the reversible catechol-to-o-benzoquinone transformation in polydopamine (PDA) can enhance photo- and electrocatalytic H2O2 production. Despite its potential, the underlying mechanisms responsible for this improvement remain poorly understood. A deeper investigation into this reversible redox process is thus crucial for optimizing H2O2 selectivity in photo- and electrocatalytic systems. This mini-review highlights recent advances in PDA-based catalysts for photo- and electrocatalytic H2O2 production, focusing on key factors that improve H2O2 selectivity. Building on these insights, we propose a generalized catalyst design strategy to achieve high H2O2 selectivity in such systems.</t>
  </si>
  <si>
    <t>Zhao, Shen/NTQ-3344-2025</t>
  </si>
  <si>
    <t>zhao, shen/0000-0002-5870-3927</t>
  </si>
  <si>
    <t>2365-6549</t>
  </si>
  <si>
    <t>e01241</t>
  </si>
  <si>
    <t>10.1002/slct.202501241</t>
  </si>
  <si>
    <t>WOS:001501875400001</t>
  </si>
  <si>
    <t>Nilza, N; Salam, MD</t>
  </si>
  <si>
    <t>Nilza, Namdol; Salam, Menaka Devi</t>
  </si>
  <si>
    <t>Recent advances in generation of bioproducts from lignin: a comprehensive review</t>
  </si>
  <si>
    <t>DISCOVER SUSTAINABILITY</t>
  </si>
  <si>
    <t>Lignin, the most abundant renewable aromatic biopolymer on earth, offers vast potential as a sustainable feedstock for the production of high-value chemicals, fuels, and advanced materials. Once regarded largely as a low-value byproduct of the pulp and paper sector, recent breakthroughs in catalysis, process engineering, and biorefinery design have enabled more selective and efficient lignin valorization. This review critically examines the major lignin conversion pathways-including reduction, oxidation, and lignin modification reactions such as alkylation, hydroxylation, and amination-highlighting their mechanisms, catalytic systems, and process conditions. Despite encouraging progress, lignin valorization faces several persistent challenges. Chief among these are the structural heterogeneity of lignin, limited product selectivity, and rapid catalyst deactivation, each of which hinders reproducibility and scalability. Additionally, effective integration of feedstock standardization, process modeling, and catalyst discovery remains essential to address these bottlenecks. Regulatory and safety barriers, particularly for lignin-derived nanomaterials and bioproducts intended for pharmaceutical or food applications, require increased attention and validation. While most lignin valorization processes remain at laboratory or pilot scale, several industrial case studies-such as commercial vanillin production and emerging lignin-based carbon fibers-demonstrate growing momentum toward commercialization. The convergence of artificial intelligence, advanced catalysis, and digital process control, along with evolving regulatory frameworks, is expected to accelerate market adoption. Ultimately, overcoming the core challenges of lignin heterogeneity and scalable depolymerization will be critical to establishing lignin as a cornerstone of the circular bioeconomy and low-carbon manufacturing.</t>
  </si>
  <si>
    <t>2662-9984</t>
  </si>
  <si>
    <t>OCT 14</t>
  </si>
  <si>
    <t>10.1007/s43621-025-01972-6</t>
  </si>
  <si>
    <t>WOS:001594387100006</t>
  </si>
  <si>
    <t>Raj, S; Singh, A</t>
  </si>
  <si>
    <t>Raj, Shreya; Singh, Ankita</t>
  </si>
  <si>
    <t>Cracked tooth syndrome: a diagnostic dilemma- a mini review</t>
  </si>
  <si>
    <t>FRONTIERS IN ORAL HEALTH</t>
  </si>
  <si>
    <t>Background Cracked tooth syndrome is one of the five types of longitudinal fracture. It has been described as an incomplete fracture progressing from the vital tooth crown and progressing subgingivally, usually in a mesio-distal direction, involving dentin and often the dental pulp. Though termed as a syndrome it doesn't present with a set of classical symptoms. Hence, its diagnosis has always been arduous. This review paper summarises the current strategies in diagnosing a cracked tooth. This paper is an attempt to draw standardized protocols for diagnosing cracked tooth.Objective The objective of this paper is to delve deeper into cracked tooth syndrome, thereby examining and simplifying each method to elucidate better its representation in clinics, such as history, examination, imaging etc. for an easier diagnosis.Clinical significance and relevance Cracked tooth syndrome is a prevalent problem in dental practice. However, its ambiguous symptoms make a definitive diagnosis difficult, leading to a delay or failure to give appropriate therapy. Thus, it is imperative for a clinician to know about the various methods to correctly diagnose and provide apt and early treatment for cracked teeth.</t>
  </si>
  <si>
    <t>raj, shreya/0000-0001-6479-4741</t>
  </si>
  <si>
    <t>2673-4842</t>
  </si>
  <si>
    <t>JUN 24</t>
  </si>
  <si>
    <t>10.3389/froh.2025.1572665</t>
  </si>
  <si>
    <t>WOS:001523791800001</t>
  </si>
  <si>
    <t>Liang, YH; Wang, X; Liang, ZP; Wang, B; Shi, B; Liu, YX</t>
  </si>
  <si>
    <t>Liang, Yuehui; Wang, Xin; Liang, Zhanpeng; Wang, Bo; Shi, Bo; Liu, Yuxuan</t>
  </si>
  <si>
    <t>Sustainable agricultural solutions: biodegradable nutrient-release films made from Salix psammophila and wheat straw</t>
  </si>
  <si>
    <t>POLYMER BULLETIN</t>
  </si>
  <si>
    <t>To address the growing issue of plastic pollution, the development of biodegradable bio-based materials as a replacement for traditional plastic mulch films is crucial for advancing sustainable agriculture and mitigating environmental impact. This study aims to improve the performance of bio-based composite mulch films in agricultural applications. A functional biodegradable mulch film was synthesized via a polymerization process employing Salix psammophila and wheat straw fibers as primary constituents. The independent parameter in this study was the varying amounts of wood-modifying liquid (WML) added to the fiber pulp, with levels of 0 g (control), 1 g, 2 g, 3 g, 4 g, and 5 g. The pulp was thoroughly dispersed and cast onto wet paper, followed by vacuum drying at 100 degrees C for 5 min to produce mulch film samples with a basis weight of 60 g/m2. The results demonstrated that the dry tensile strength of the film reached 29.18 MPa, while its crushing resistance increased to 3.533 kPam2/g after incorporating 4 g of wood modification liquid. Furthermore, the modified film released of 16.38 mg/L of nitrogen over 180 min in water, exhibited a contact angle of 122 degrees, and maintained its structural integrity after 90 days of immersion in an aqueous solution. These findings demonstrate the exceptional performance of the Salix psammophila/wheat straw fiber-based film, with promising applications in sustainable agriculture. The results underscore the potential of bio-based biodegradable materials to replace traditional plastic films in agricultural practices, and further optimization of production processes could enhance their performance in varying environmental conditions.</t>
  </si>
  <si>
    <t>Liang, Yuehui/LZG-1348-2025</t>
  </si>
  <si>
    <t>0170-0839</t>
  </si>
  <si>
    <t>1436-2449</t>
  </si>
  <si>
    <t>JUL</t>
  </si>
  <si>
    <t>10.1007/s00289-025-05713-7</t>
  </si>
  <si>
    <t>WOS:001446083000001</t>
  </si>
  <si>
    <t>Lu, KYF; Gibbs, JL; Wu, CY; Blatz, MB; Ma, XH; Fu, MW; Ma, KSK</t>
  </si>
  <si>
    <t>Lu, Korina Yun-Fan; Gibbs, Jennifer L.; Wu, Cheng-Yu; Blatz, Markus B.; Ma, Xuehao; Fu, Min-Wen; Ma, Kevin Sheng-Kai</t>
  </si>
  <si>
    <t>EFFICACY OF BIODENTINE VERSUS MINERAL TRIOXIDE AGGREGATE IN PULPOTOMY FOR PRIMARY TEETH: A SYSTEMATIC REVIEW AND META-ANALYSIS OF RANDOMIZED CONTROLLED TRIALS</t>
  </si>
  <si>
    <t>JOURNAL OF EVIDENCE-BASED DENTAL PRACTICE</t>
  </si>
  <si>
    <t>Background Mineral trioxide aggregate (MTA) and Biodentine, introduced in the 1990s and 2010, are routinely used in primary teeth pulpotomy, yet their relative success remains unclear. Objectives This paper aims to compare Biodentine and MTA efficacy in primary teeth pulpotomy over a 6 to 24-month follow-up, assessing clinical, radiographic, and endodontic outcomes. Materials and Methods Randomized controlled trials (RCTs) published from March 2010 to March 2025 comparing the efficacy of Biodentine and MTA in primary teeth pulpotomy with &gt;= 6-month follow-up were included. Their efficacy was determined by clinical and radiographic success rates, as well as 2 endodontic outcomes of root resorption and pulp canal obliteration (PCO). A bivariate and random-effect meta-analysis determined the pooled risk ratios (RRs) of the outcomes. Results Eleven RCTs comprising 649 patients and 706 primary teeth were included. Clinical success rates were comparable between Biodentine and MTA at 6 months (RR = 1.00; 95% CI: 0.98-1.02), 12 months (RR = 1.01; 95% CI: 0.97-1.04), 18 months (RR = 0.99; 95% CI: 0.95-1.04), and 24 months (RR = 1.00; 95% CI: 0.94-1.07), with no observed heterogeneity (I-2 = 0%). Radiographic success rates also showed no significant differences at 6 months (RR = 0.99; 95% CI: 0.97-1.02), 12 months (RR = 1.00; 95% CI: 0.96-1.03), 18 months (RR = 1.01; 95% CI: 0.94-1.09), and 24 months (RR = 1.01; 95% CI: 0.94-1.08). Root resorption and pulp canal obliteration occurred at comparable rates across over 6, 12, and &gt;= 18 months of follow-ups. Conclusion Biodentine and MTA exerted comparable success rates in primary teeth pulpotomy at follow-ups of up to 2 years.</t>
  </si>
  <si>
    <t>Blatz, Markus/KIK-5323-2024; Ma, Kevin Sheng-Kai/GXA-0057-2022</t>
  </si>
  <si>
    <t>1532-3382</t>
  </si>
  <si>
    <t>1532-3390</t>
  </si>
  <si>
    <t>DEC</t>
  </si>
  <si>
    <t>10.1016/j.jebdp.2025.102191</t>
  </si>
  <si>
    <t>WOS:001592877500001</t>
  </si>
  <si>
    <t>Sarmiento, LAQ; Calegari-Alves, YP; Innocente-Alves, C; Sant'Ana, JD; Sulzbach, SL; Cortivo, PRD; Lanna, R; Santi, L; de Andrade, SF; Beys-da-Silva, WO</t>
  </si>
  <si>
    <t>Sarmiento, Leonardo Andres Quijano; Calegari-Alves, Yohana Porto; Innocente-Alves, Camila; Sant'Ana, Julia de Fraga; Sulzbach, Sara Luisa; Cortivo, Paulo Roberto Dall; Lanna-Filho, Roberto; Santi, Lucelia; de Andrade, Saulo Fernandes; Beys-da-Silva, Walter Orlando</t>
  </si>
  <si>
    <t>Key bacterial pathogens causing diseases in Eucalyptus</t>
  </si>
  <si>
    <t>JOURNAL OF PLANT PATHOLOGY</t>
  </si>
  <si>
    <t>Eucalyptus is a tree native to Australia widely cultivated worldwide, mainly in Europe, Africa, Southeast Asia and South America. This tree is responsible for major financial gains in the pulp, paper and wood industries. However, several bacterial phytopathogens are capable of infecting the plantations and leading to massive losses in economy and production. Among these pathogens, species of Ralstonia and Erwinia are of particular relevance due to their impact on plant health and disease severity. Despite the damage they cause, the infection mechanisms of these bacteria remain poorly understood, and effective control strategies are still lacking. Therefore, this review aims to provide a discussion on bacterial phytopathogens affecting Eucalyptus, with a focus on Ralstonia solanacearum and Erwinia psidii. Additionally, we include information about other phytopathogenic bacteria associated with Eucalyptus diseases (Xanthomonas, Pantoea, Agrobacterium, Pseudomonas, and Rahnella victoriana) while also exploring alternative control methods to mitigate their effects.</t>
  </si>
  <si>
    <t>Andrade, Saulo/H-9204-2015; Beys-da-Silva, Walter/M-3760-2018; Santi, Lucélia/K-4856-2015</t>
  </si>
  <si>
    <t>1125-4653</t>
  </si>
  <si>
    <t>2239-7264</t>
  </si>
  <si>
    <t>2025 AUG 25</t>
  </si>
  <si>
    <t>10.1007/s42161-025-02003-z</t>
  </si>
  <si>
    <t>AUG 2025</t>
  </si>
  <si>
    <t>WOS:001556058100001</t>
  </si>
  <si>
    <t>Basuliman, MM; Zango, ZU; Trache, D; Ibrahim, MNM; Hussin, MH</t>
  </si>
  <si>
    <t>Basuliman, Maged M.; Zango, Zakariyya Uba; Trache, Djalal; Ibrahim, Mohamad Nasir Mohamad; Hussin, M. Hazwan</t>
  </si>
  <si>
    <t>A mini-review on lignin isolation and modification based on sorbent materials with porous nature as demulsifier for oil/water separations</t>
  </si>
  <si>
    <t>Several marine oil spills and industrial wastewater discharges have posed significant threats to the environment, food systems, and human health. Waste lignin, a byproduct of the bioethanol and pulp processing industries, contains several reactive groups and is often discarded or used directly as fuel. However, lignin-based porous composites have been innovatively designed and manufactured to utilise lignin waste while also treating oily wastewater. This paper reviews recent advances in lignin isolation methods and the modification of lignin as a demulsifier for oil/water separation, focusing on the production of lignin-based porous composites. These composites are categorised into Pickering emulsions, aerogels, sponges, foams, and filter membrane materials. Additionally, the methodologies and applications of lignin based on porous adsorbents and filter materials for oil/water separation are examined. The paper investigates the characteristics of oil adsorbents and absorbents in water, evaluating their efficiency and environmental impact. An analysis of the latest literature highlights the critical importance of leveraging lignin in the development of materials for demulsification and separation processes by exploring its chemical and physical properties.</t>
  </si>
  <si>
    <t>ZANGO, ZAKARIYYA/AAF-5216-2019; Hussin, Mohd./B-2609-2018; BA Suliman, Maged/JZU-0815-2024; Trache, Djalal/O-2461-2015</t>
  </si>
  <si>
    <t>10.1016/j.ijbiomac.2025.145064</t>
  </si>
  <si>
    <t>WOS:001511931200001</t>
  </si>
  <si>
    <t>Shi, XJ; Wang, SW; Zhang, B; Zhang, ZX; Wang, SC; Ding, XB; Wang, SB; Qi, P; Yang, HW</t>
  </si>
  <si>
    <t>Shi, Xiaojie; Wang, Shaowei; Zhang, Bo; Zhang, Zixuan; Wang, Shucheng; Ding, Xinbing; Wang, Shubo; Qi, Peng; Yang, Huawei</t>
  </si>
  <si>
    <t>Advances in Berry Harvesting Robots</t>
  </si>
  <si>
    <t>HORTICULTURAE</t>
  </si>
  <si>
    <t>Berries are popular by consumers for improving vision, lowering blood sugar, improving circulation, and cardiovascular protection. They are usually small, thin-skinned, and fragile, with inconsistent ripening times. Harvesting robots are able to accurately determine the ripeness of fruits, avoiding pulp breakage and nutrient loss caused by manual squeezing. This work reviews the development and application of berry harvesting robots with market prospects in recent years. Next, this paper discusses the key technologies of berry picking robots, including fruit detection and localization technology, motion planning technology, and end-effector and harvesting mechanism. It also discusses the challenges currently faced in the development of berry harvesting robots, including external factors such as unstructured working environments and internal technical difficulties such as robot design and control. To address these challenges, future berry picking robots should focus on developing weak supervision recognition models based on deep learning, high-speed collision-free multi-arm collaborative harvesting technology, and high fault-tolerant harvesting technology to improve picking efficiency and quality, reduce fruit damage, and promote the automation and intelligence of the berry harvesting.</t>
  </si>
  <si>
    <t>2311-7524</t>
  </si>
  <si>
    <t>SEP 2</t>
  </si>
  <si>
    <t>10.3390/horticulturae11091042</t>
  </si>
  <si>
    <t>WOS:001580026500001</t>
  </si>
  <si>
    <t>Akram, F; Safdar, M; Shabbir, I; Fatima, T; Ikram-ul-Haq</t>
  </si>
  <si>
    <t>Akram, Fatima; Safdar, Momena; Shabbir, Ifrah; Fatima, Taseer; Ikram-ul-Haq</t>
  </si>
  <si>
    <t>Insight into the eminent biotechnological applications of xylanolytic enzymes for sustainable bioprocessing</t>
  </si>
  <si>
    <t>3 BIOTECH</t>
  </si>
  <si>
    <t>Xylan is one of the most abundant polysaccharides in nature and presents a structural complexity characterized by a heterogeneous polymer composition. Comprising various sugar subunits and associated acids linked through a diverse array of bonds, xylan poses challenges for complete degradation. This review article provides a comprehensive overview of xylan's structure, the role of xylanolytic enzymes in its degradation, and the industrial applications of xylanases in sectors, such as paper and pulp, food, textiles, and pharmaceuticals. Furthermore, it also discusses the use of advanced biotechnology tools, such as nano-biotechnology and genetic engineering, particularly through CRISPR/CAS technology, for enhancing the thermostability of xylanases. This article also provides insights into emerging trends in xylanase research, including bioprospecting novel thermostable xylanases from metagenomes, protein engineering, synthetic biology, and the integration of biorefinery. Finally, it highlights the importance of regulatory frameworks and standardization initiatives for ensuring the quality and the sustainability of xylanase-based technologies. Overall, this review offers valuable insights into the multifaceted role of xylanases in biotechnology and industrial bioprocessing while outlining future directions for research and innovation in this field.</t>
  </si>
  <si>
    <t>Akram, Fatima/AAQ-7837-2021</t>
  </si>
  <si>
    <t>2190-572X</t>
  </si>
  <si>
    <t>2190-5738</t>
  </si>
  <si>
    <t>JUL 10</t>
  </si>
  <si>
    <t>10.1007/s13205-025-04415-1</t>
  </si>
  <si>
    <t>WOS:001526852500002</t>
  </si>
  <si>
    <t>Arumugam, S; Chengareddy, P; Venkatakoteswararao, G</t>
  </si>
  <si>
    <t>Arumugam, S.; Chengareddy, P.; Venkatakoteswararao, G.</t>
  </si>
  <si>
    <t>A review on the utilization of waste pineapple crown into value-added products</t>
  </si>
  <si>
    <t>BIOMASS CONVERSION AND BIOREFINERY</t>
  </si>
  <si>
    <t>The pineapple is the most consumed fruit in the world, although its crown is discarded as waste. However, these pineapple crowns (PaCn) are rich in bioactive compounds and chemicals, offering vast potential for applications in pharmaceuticals, cosmetics, food and beverages, biofuels, bioplastics, paper and pulp products, etc. The previous review reports on the subject examined the development of sustainable materials derived from different pineapple wastes, i.e., peel, core, crown, and pomace in the bioenergy and other industrial sectors. However, they have not focused on application materials derived from waste PaCn. Hence, there is a scope for exploring the different application materials derived from PaCn. This first report thoroughly reviews waste pineapple crowns' industrial potential, possibilities for by-product valorization, and their conversion process. Through the thorough literature review, it is perceived that various industries can derive multiple value-added products from waste PaCn, including 15 application materials such as nano/micro cellulose, activated carbon, enzymes, fibers, vanillic acid, bioadsorbent, regenerative cellulose, renewable aromatic compounds, pharmaceutical chemicals, reducing sugar, bioactive compounds, corrosion inhibitor, bio-oil, composite particles, and mortar. The waste of PaCn conversions has been shown to reduce waste generation, and the products derived from the conversion would support the waste-to-value concept.</t>
  </si>
  <si>
    <t>S, ARUMUGAM/AFM-6916-2022; P, Chenga Reddy/GRJ-0854-2022</t>
  </si>
  <si>
    <t>S, ARUMUGAM/0000-0002-1484-5739; P, Chengareddy/0000-0001-6301-1573;</t>
  </si>
  <si>
    <t>2190-6815</t>
  </si>
  <si>
    <t>2190-6823</t>
  </si>
  <si>
    <t>10.1007/s13399-025-06837-6</t>
  </si>
  <si>
    <t>APR 2025</t>
  </si>
  <si>
    <t>WOS:001461229500001</t>
  </si>
  <si>
    <t>Siddikey, F; Jahan, MI; Hormoni; Hasan, MT; Nishi, NJ; Hasan, SMK; Rahman, N; Al Faik, MA; Hossain, MA</t>
  </si>
  <si>
    <t>Siddikey, Fahima; Jahan, Md Istiakh; Hormoni; Hasan, Md Toufik; Nishi, Nusrat Jerin; Hasan, S. M. Kamrul; Rahman, Nahidur; Al Faik, Md. Azmain; Hossain, Mohammad Afzal</t>
  </si>
  <si>
    <t>Enzyme Technology in the Food Industry: Molecular Mechanisms, Applications, and Sustainable Innovations</t>
  </si>
  <si>
    <t>FOOD SCIENCE &amp; NUTRITION</t>
  </si>
  <si>
    <t>Enzymes are protein-based biocatalysts that speed up biochemical reactions without affecting equilibrium, with microbial sources being the most efficient and cost-effective for large-scale production. Their dual roles as processing aids and inhibitors of spoilage make understanding their structure, function, and specific activity vital for both in vitro applications and food product development. While the development of recombinant DNA technology and the advancements achieved by microbes in food applications are more economically and practically advantageous, certain of these enzymes are plentiful enough in their natural sources to allow for large-scale synthesis. Enzymes find extensive use across many domains, including but not limited to agriculture, environment, paper and pulp, leather tanning, chemicals and pharmaceuticals, detergents, food and drink, and so on. In this review, we have focused on the molecular mechanisms of enzyme activity and the enzyme manufacturing process within the food industry. We also dedicate a section to various enzymes used in this sector, including amylase, lipase, proteases, cellulase, lactase, glucose oxidase, glucose isomerase, invertase, catalase, and rennet. Additionally, we have presented case studies showcasing the successful implementation of sustainable enzyme practices across different food sectors, highlighting both practical benefits and challenges. The review concludes with an outlook on future trends and research directions aimed at achieving greater safety and sustainability in enzyme technology within the food industry.</t>
  </si>
  <si>
    <t>Faik, Md./NNG-4018-2025; Hossain, Mohammad/ABA-4955-2020</t>
  </si>
  <si>
    <t>2048-7177</t>
  </si>
  <si>
    <t>e70927</t>
  </si>
  <si>
    <t>10.1002/fsn3.70927</t>
  </si>
  <si>
    <t>WOS:001583309600033</t>
  </si>
  <si>
    <t>Cheptoo, A; Ebere, R; Arimi, J</t>
  </si>
  <si>
    <t>Cheptoo, Annet; Ebere, Rebecca; Arimi, Joshua</t>
  </si>
  <si>
    <t>Avocado Pulp: A Review of Nutritional Profile, Functional Attributes, Drying Techniques, and Avocado Pulp Products</t>
  </si>
  <si>
    <t>JOURNAL OF FOOD PROCESSING AND PRESERVATION</t>
  </si>
  <si>
    <t>Avocados (Persea americana Mill.) are mainly consumed fresh, although processed avocado products have recently gained popularity, driven by health trends and the need for convenience. With the rise in global demand for healthy and convenient food options, there is a need for studies on the effect of drying on the nutritional and functional properties and the value-added products obtained from avocado pulp. This article focuses on avocado fruit, highlighting the recent advancements in avocado pulp drying techniques such as freeze-drying, solar, spray, microwave, refractance window drying, infrared, and hot air-assisted radiofrequency drying. The value-added products from avocado pulp in the food industry and the potential of avocado pulp as a nutraceutical have been discussed in addition to the economic feasibility of the drying techniques. An electronic search was carried out using ScienceDirect, Google Scholar, and ResearchGate databases for studies published between 2019 and 2024. The literature search carried out using the keywords avocado pulp powder and dried avocado pulp generated 34 papers, of which five were repeated. Eight papers on the phytochemicals in avocado pulp and four on economic feasibility were also included in the study. Forty-one papers were reviewed based on defined inclusion and exclusion criteria, providing a comprehensive overview of the existing literature on avocado pulp drying. The findings offer valuable insights and recommendations on avocado pulp drying for food scientists, processors, and researchers.</t>
  </si>
  <si>
    <t>Arimi, Joshua/AGQ-1753-2022</t>
  </si>
  <si>
    <t>Cheptoo, Annet/0009-0003-4588-9747; Arimi, Joshua/0000-0002-2130-085X</t>
  </si>
  <si>
    <t>0145-8892</t>
  </si>
  <si>
    <t>1745-4549</t>
  </si>
  <si>
    <t>10.1155/jfpp/4810929</t>
  </si>
  <si>
    <t>WOS:001431044200001</t>
  </si>
  <si>
    <t>Danielewicz, D</t>
  </si>
  <si>
    <t>Danielewicz, Dariusz</t>
  </si>
  <si>
    <t>Manufacturing of Form-molded Pulp Products (FMPPs) in the Papermaking Industry A Review</t>
  </si>
  <si>
    <t>The article reviews the history of the production of form-molded pulp products (FMPPs) and the current value of their production. The discussion includes fibrous intermediates and additional materials used to produce these products, the categories and properties of FMPPs, and principles of operation of machines used to produce them. It compares vacuum and overpressure molding techniques, and current and future trends in FMPPs production. FMPPs are produced from fibrous secondary and primary papermaking pulps, as well as other waste intermediates, the use of which can contribute to reducing the costs of producing these products. It was found that over the past dozen or so years, the state of knowledge on improving the strength properties of FMPPs and the use of biodegradable aids to improve their properties, including barrier properties, has significantly expanded. Drawing not yet published in review articles, showing devices for producing FMPPs using hydraulic molding and pressurized air molding methods are presented in a descriptive and comparative form used in the industry at the turn of the 1950s and 1960s. Possible future directions are considered for FMPPs developments in technology and further commercialization.</t>
  </si>
  <si>
    <t>10.15376/biores.20.2.Danielewicz</t>
  </si>
  <si>
    <t>WOS:001485448400034</t>
  </si>
  <si>
    <t>Murmu, SB; Nayak, LK; Lakshmanan, A; Baite, H; Nayak, D; Biswas, P</t>
  </si>
  <si>
    <t>Murmu, Sanchita Biswas; Nayak, Laxmi Kanta; Lakshmanan, Ammayappan; Baite, Haokhothang; Nayak, Dipak; Biswas, Piyali</t>
  </si>
  <si>
    <t>Improved food storage in jute packaging: an assessment of the current uses, constraints, and functional enhancements of jute bags and the potential of nonconventional jute-based paper packaging</t>
  </si>
  <si>
    <t>JOURNAL OF FOOD SCIENCE AND TECHNOLOGY-MYSORE</t>
  </si>
  <si>
    <t>Food packaging is now synonymous with the use of plastic, which causes unwanted environmental pollution. Jute is a naturally renewable plant-based fiber that is highly suitable for packaging high-quality grains. However, it has the limitations of poor oxygen and water vapor barrier properties and faces stringent competition with plastic alternatives to the extent that compels government mandatory regulations to use jute bags for food packaging. This review examines how well jute bags store and preserve product quality while causing the least amount of deterioration compared with the chemical composition and nutritional and sensory qualities of freshly stored various food materials, such as pulses, fruits, dried fruits, seeds, and coffee. The analysis revealed that jute bags work best for wheat, maize, chili, and tea seeds when combined with a single/multiple inner layers of less water- and oxygen-permeable low-density polyethylene (polyline) plastic. The application of functional treatments to jute bags results in water and pest resistance and enhances the barrier properties for improved storage of food grains. The improved antibacterial characteristics of jute fabric, which can stop or delay the growth of microbes on a product's surface, are highly desirable in the food packaging industry. The secondary or lesser-used application of jute involves the development of pulp and paper films for food packaging. The mechanical properties of jute-based paper match the minimum tensile strength requirement (20 MPa) of film packaging for various food packaging applications. The barrier properties of such films may also be enhanced by the application of functional coatings. Greater research attention from industry and researchers might eradicate the limitations of jute bag packaging, allowing for a larger deployment of this material for food packaging applications in place of less environmentally friendly plastic.</t>
  </si>
  <si>
    <t>Lakshmanan, Ammayappan/L-2935-2013</t>
  </si>
  <si>
    <t>MURMU, SANCHITA/0000-0002-5766-7733</t>
  </si>
  <si>
    <t>0022-1155</t>
  </si>
  <si>
    <t>0975-8402</t>
  </si>
  <si>
    <t>10.1007/s13197-025-06286-z</t>
  </si>
  <si>
    <t>MAY 2025</t>
  </si>
  <si>
    <t>WOS:001484585300001</t>
  </si>
  <si>
    <t>Salem, MZM; Mohamedq, WS; Ahmad, O; Ahmed, R; Khaled, N; El-Makarem, NA; Fawzy, N; Sadek, R; Hassan, RRA; Lackner, M</t>
  </si>
  <si>
    <t>Salem, Mohamed Z. M.; Mohamedq, Wael S.; Ahmad, Olfat; Ahmed, Rawan; Khaled, Naglaa; El-Makarem, Nada Abo; Fawzy, Nora; Sadek, Rasha; Hassan, Rushdya R. A.; Lackner, Maximilian</t>
  </si>
  <si>
    <t>Cleaning Fungal Stains on Cotton and Wood-containing Paper Using Protease</t>
  </si>
  <si>
    <t>Protease enzyme at concentrations of 50, 75, and 100 U (mu mol/min), in both solution and paste form, was evaluated for cleaning stains caused by Aspergillus flavus. This applied study was conducted on paper sheets that had been formed from either cotton or wood-derived cellulose fibers. After cleaning, the infected samples were examined and analyzed to identify any changes and assess the effectiveness of the cleaning process. Color change, digital microscopy, ATR-FTIR, scanning electron microscopy, and pH measurement were employed. The results confirmed that the most effective treatment was the enzyme paste form at 50 and 75 U, as this was able to remove existing fungus spots on the surface or permeate within the fibers. IR spectroscopy confirmed that the chemical composition of both cotton and wood paper remained unchanged. Conversely, there was a significant increase in the characteristic vibrations of water and the crystallization sites of cellulose at the wavenumber of 1300 cm-1.</t>
  </si>
  <si>
    <t>Sadovsky, Sergey/B-6053-2017; Lackner, Maximilian/D-4604-2015; Salem, Mohamed Z.M./B-2981-2013; Lackner, Maximilian/AAI-9589-2020; Hassan, Rushdya/GYQ-5621-2022</t>
  </si>
  <si>
    <t>Lackner, Maximilian/0000-0002-2673-7495; Salem, Mohamed Zidan Mohamed/0000-0002-3961-7935</t>
  </si>
  <si>
    <t>10.15376/biores.20.3.7435-7462</t>
  </si>
  <si>
    <t>WOS:001552507500027</t>
  </si>
  <si>
    <t>Lendewig, M; Marquez, R; Franco, J; Vera, RE; Vivas, KA; Forfora, N; Venditti, RA; Gonzalez, R</t>
  </si>
  <si>
    <t>Lendewig, Mariana; Marquez, Ronald; Franco, Jorge; Vera, Ramon E.; Vivas, Keren A.; Forfora, Naycari; Venditti, Richard A.; Gonzalez, Ronalds</t>
  </si>
  <si>
    <t>Moving toward fiber-based products free of PFAS: Industry response to regulations for paper packaging, hygiene and textile products</t>
  </si>
  <si>
    <t>RESOURCES CONSERVATION AND RECYCLING</t>
  </si>
  <si>
    <t>Per- and polyfluoroalkyl substances (PFAS) have played a critical role in the fiber-based industry for decades, primarily due to their ability to impart water and grease resistance to materials. However, increasing environmental and public health awareness has intensified regulatory scrutiny and driven a transition toward safer alternatives. Historically, the paper industry has depended on PFOA, PFOS, 6:2 FTOH, and PFBS to achieve the necessary barrier properties in food packaging, and these compounds continue to be detected in some products despite regulatory efforts to phase out PFAS. In the textile industry, over 72 distinct PFAS compounds have been identified, with PFOS and PFOA still prevalent. Similarly, in the hygiene products sector, FOA, 6:2 FTS, PFBA, and 6:2 diPAP have been detected in diapers, sanitary pads, and facemasks. Beyond legal liabilities for PFASrelated pollution, which have exceeded USD 54 million within the fiber-based industry, challenges linked to the disposal of PFAS-containing products, along with rising sustainability expectations from consumers, further intensify economic risks. Despite the comparable performance of emerging alternatives, treating paper with PFAS remains the most cost-effective option at USD 0.00012 per m2. In contrast, the higher costs of biobased alternative coatings, ranging from USD 0.015 to 0.98 per m2, could significantly impact cost structures unless the societal costs associated with PFAS pollution are accounted for. Estimates indicate that this transition could cost industry up to USD 12,500 million more than using PFAS treatments. Nonetheless, PFAS often deliver barrier performance that exceeds functional requirements in fiber-based products, particularly in single-use applications. Comparisons between PFAS and alternative technologies should therefore be based on the performance required for the intended application. Notably, major companies from the pulp and paper and textiles industries have already demonstrated that large-scale adoption of PFAS-free technologies is feasible while maintaining essential product performance. These findings indicate that with ongoing innovation and scaling, cost parity with PFASbased products appears attainable.</t>
  </si>
  <si>
    <t>Marquez, Ronald/R-5626-2018; Forfora, Naycari/MFI-0864-2025; Vera, Ramon/JXY-6042-2024</t>
  </si>
  <si>
    <t>Venditti, Richard/0000-0002-7986-4092; Gonzalez, Ronalds/0000-0001-5282-3015</t>
  </si>
  <si>
    <t>0921-3449</t>
  </si>
  <si>
    <t>1879-0658</t>
  </si>
  <si>
    <t>10.1016/j.resconrec.2025.108428</t>
  </si>
  <si>
    <t>WOS:001511838900002</t>
  </si>
  <si>
    <t>Zhang, JK; Xiang, HX; Cao, ZW; Wang, SC; Zhu, MF</t>
  </si>
  <si>
    <t>Zhang, Jingke; Xiang, Hengxue; Cao, Zhiwei; Wang, Shichao; Zhu, Meifang</t>
  </si>
  <si>
    <t>Research progress of lignin-derived materials in lithium/sodium ion batteries</t>
  </si>
  <si>
    <t>GREEN ENERGY &amp; ENVIRONMENT</t>
  </si>
  <si>
    <t>With the increase of energy consumption, the shortage of fossil resource, and the aggravation of environmental pollution, the development of cost-effective and environmental friendly bio-based energy storage devices has become an urgent need. As the second most abundant natural polymer found in nature, lignin is mainly produced as the by-product of paper pulping and bio-refining industries. It possesses several inherent advantages, such as low-cost, high carbon content, abundant functional groups, and bio-renewable, making it an attractive candidate for the rechargeable battery material. Consequently, there has been a surge of research interest in utilizing lignin or lignin-based carbon materials as the components of lithium-ion (LIBs) or sodium-ion batteries (SIBs), including the electrode, binder, separator, and electrolyte. This review provides a comprehensive overview on the research progress of lignin-derived materials used in LIBs/SIBs, especially the application of lignin-based carbons as the anodes of LIBs/SIBs. The preparation methods and properties of lignin-derived materials with different dimensions are systemically discussed, which emphasizes on the relationship between the chemical/physical structures of lignin-derived materials and the performances of LIBs/SIBs. The current challenges and future prospects of lignin-derived materials in energy storage devices are also proposed. (c) 2024 Institute of Process Engineering, Chinese Academy of Sciences. Publishing services by Elsevier B.V. on behalf of KeAi Communications Co., Ltd. This is an open access article under the CC BY-NC-ND license (http://creativecommons.org/licenses/by-nc-nd/4.0/).</t>
  </si>
  <si>
    <t>Cao, Zhiwei/IWV-0532-2023</t>
  </si>
  <si>
    <t>2096-2797</t>
  </si>
  <si>
    <t>2468-0257</t>
  </si>
  <si>
    <t>10.1016/j.gee.2024.05.001</t>
  </si>
  <si>
    <t>WOS:001447678600001</t>
  </si>
  <si>
    <t>Pullen, RM; Decker, SR; Subramanian, V; Adler, MJ; Tobias, AV; Perisin, M; Sund, CJ; Servinsky, MD; Kozlowski, MT</t>
  </si>
  <si>
    <t>Pullen, Randi M.; Decker, Stephen R.; Subramanian, Venkataramanan; Adler, Meaghan J.; Tobias, Alexander V.; Perisin, Matthew; Sund, Christian J.; Servinsky, Matthew D.; Kozlowski, Mark T.</t>
  </si>
  <si>
    <t>Considerations for Domestication of Novel Strains of Filamentous Fungi</t>
  </si>
  <si>
    <t>ACS SYNTHETIC BIOLOGY</t>
  </si>
  <si>
    <t>Fungi, especially filamentous fungi, are a relatively understudied, biotechnologically useful resource with incredible potential for commercial applications. These multicellular eukaryotic organisms have long been exploited for their natural production of useful commodity chemicals and proteins such as enzymes used in starch processing, detergents, food and feed production, pulping and paper making and biofuels production. The ability of filamentous fungi to use a wide range of feedstocks is another key advantage. As chassis organisms, filamentous fungi can express cellular machinery, and metabolic and signal transduction pathways from both prokaryotic and eukaryotic origins. Their genomes abound with novel genetic elements and metabolic processes that can be harnessed for biotechnology applications. Synthetic biology tools are becoming inexpensive, modular, and expansive while systems biology is beginning to provide the level of understanding required to design increasingly complex synthetic systems. This review covers the challenges of working in filamentous fungi and offers a perspective on the approaches needed to exploit fungi as microbial cell factories.</t>
  </si>
  <si>
    <t>Kozlowski, Mark/HKF-3496-2023; sund, christian/G-3424-2013</t>
  </si>
  <si>
    <t>Adler, Meaghan/0009-0009-6794-013X; Kozlowski, Mark/0000-0003-4714-8697;</t>
  </si>
  <si>
    <t>2161-5063</t>
  </si>
  <si>
    <t>JAN 30</t>
  </si>
  <si>
    <t>10.1021/acssynbio.4c00672</t>
  </si>
  <si>
    <t>WOS:001409942800001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</si>
</sst>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name val="Arial"/>
    </font>
    <font>
      <sz val="9"/>
      <name val="宋体"/>
      <family val="3"/>
      <charset val="134"/>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4556C-B09C-449F-8B4E-7B8B27EA91EA}">
  <dimension ref="A1:BT51"/>
  <sheetViews>
    <sheetView tabSelected="1" workbookViewId="0"/>
  </sheetViews>
  <sheetFormatPr defaultRowHeight="12.5" x14ac:dyDescent="0.25"/>
  <sheetData>
    <row r="1" spans="1:7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25">
      <c r="A2" t="s">
        <v>72</v>
      </c>
      <c r="B2" t="s">
        <v>73</v>
      </c>
      <c r="C2" t="s">
        <v>74</v>
      </c>
      <c r="D2" t="s">
        <v>74</v>
      </c>
      <c r="E2" t="s">
        <v>74</v>
      </c>
      <c r="F2" t="s">
        <v>75</v>
      </c>
      <c r="G2" t="s">
        <v>74</v>
      </c>
      <c r="H2" t="s">
        <v>74</v>
      </c>
      <c r="I2" t="s">
        <v>76</v>
      </c>
      <c r="J2" t="s">
        <v>77</v>
      </c>
      <c r="K2" t="s">
        <v>74</v>
      </c>
      <c r="L2" t="s">
        <v>74</v>
      </c>
      <c r="M2" t="s">
        <v>74</v>
      </c>
      <c r="N2" t="s">
        <v>74</v>
      </c>
      <c r="O2" t="s">
        <v>74</v>
      </c>
      <c r="P2" t="s">
        <v>74</v>
      </c>
      <c r="Q2" t="s">
        <v>74</v>
      </c>
      <c r="R2" t="s">
        <v>74</v>
      </c>
      <c r="S2" t="s">
        <v>74</v>
      </c>
      <c r="T2" t="s">
        <v>74</v>
      </c>
      <c r="U2" t="s">
        <v>74</v>
      </c>
      <c r="V2" t="s">
        <v>78</v>
      </c>
      <c r="W2" t="s">
        <v>74</v>
      </c>
      <c r="X2" t="s">
        <v>74</v>
      </c>
      <c r="Y2" t="s">
        <v>74</v>
      </c>
      <c r="Z2" t="s">
        <v>74</v>
      </c>
      <c r="AA2" t="s">
        <v>79</v>
      </c>
      <c r="AB2" t="s">
        <v>80</v>
      </c>
      <c r="AC2" t="s">
        <v>74</v>
      </c>
      <c r="AD2" t="s">
        <v>74</v>
      </c>
      <c r="AE2" t="s">
        <v>74</v>
      </c>
      <c r="AF2" t="s">
        <v>74</v>
      </c>
      <c r="AG2" t="s">
        <v>74</v>
      </c>
      <c r="AH2" t="s">
        <v>74</v>
      </c>
      <c r="AI2" t="s">
        <v>74</v>
      </c>
      <c r="AJ2" t="s">
        <v>74</v>
      </c>
      <c r="AK2" t="s">
        <v>74</v>
      </c>
      <c r="AL2" t="s">
        <v>74</v>
      </c>
      <c r="AM2" t="s">
        <v>74</v>
      </c>
      <c r="AN2" t="s">
        <v>74</v>
      </c>
      <c r="AO2" t="s">
        <v>81</v>
      </c>
      <c r="AP2" t="s">
        <v>82</v>
      </c>
      <c r="AQ2" t="s">
        <v>74</v>
      </c>
      <c r="AR2" t="s">
        <v>74</v>
      </c>
      <c r="AS2" t="s">
        <v>74</v>
      </c>
      <c r="AT2" t="s">
        <v>83</v>
      </c>
      <c r="AU2">
        <v>2025</v>
      </c>
      <c r="AV2">
        <v>79</v>
      </c>
      <c r="AW2" t="s">
        <v>74</v>
      </c>
      <c r="AX2" t="s">
        <v>74</v>
      </c>
      <c r="AY2" t="s">
        <v>74</v>
      </c>
      <c r="AZ2" t="s">
        <v>74</v>
      </c>
      <c r="BA2" t="s">
        <v>74</v>
      </c>
      <c r="BB2" t="s">
        <v>74</v>
      </c>
      <c r="BC2" t="s">
        <v>74</v>
      </c>
      <c r="BD2">
        <v>108530</v>
      </c>
      <c r="BE2" t="s">
        <v>84</v>
      </c>
      <c r="BF2" t="str">
        <f>HYPERLINK("http://dx.doi.org/10.1016/j.biotechadv.2025.108530","http://dx.doi.org/10.1016/j.biotechadv.2025.108530")</f>
        <v>http://dx.doi.org/10.1016/j.biotechadv.2025.108530</v>
      </c>
      <c r="BG2" t="s">
        <v>74</v>
      </c>
      <c r="BH2" t="s">
        <v>85</v>
      </c>
      <c r="BI2" t="s">
        <v>74</v>
      </c>
      <c r="BJ2" t="s">
        <v>74</v>
      </c>
      <c r="BK2" t="s">
        <v>74</v>
      </c>
      <c r="BL2" t="s">
        <v>74</v>
      </c>
      <c r="BM2" t="s">
        <v>74</v>
      </c>
      <c r="BN2">
        <v>39933605</v>
      </c>
      <c r="BO2" t="s">
        <v>74</v>
      </c>
      <c r="BP2" t="s">
        <v>74</v>
      </c>
      <c r="BQ2" t="s">
        <v>74</v>
      </c>
      <c r="BR2" t="s">
        <v>74</v>
      </c>
      <c r="BS2" t="s">
        <v>86</v>
      </c>
      <c r="BT2" t="str">
        <f>HYPERLINK("https%3A%2F%2Fwww.webofscience.com%2Fwos%2Fwoscc%2Ffull-record%2FWOS:001427920200001","View Full Record in Web of Science")</f>
        <v>View Full Record in Web of Science</v>
      </c>
    </row>
    <row r="3" spans="1:72" x14ac:dyDescent="0.25">
      <c r="A3" t="s">
        <v>72</v>
      </c>
      <c r="B3" t="s">
        <v>87</v>
      </c>
      <c r="C3" t="s">
        <v>74</v>
      </c>
      <c r="D3" t="s">
        <v>74</v>
      </c>
      <c r="E3" t="s">
        <v>74</v>
      </c>
      <c r="F3" t="s">
        <v>88</v>
      </c>
      <c r="G3" t="s">
        <v>74</v>
      </c>
      <c r="H3" t="s">
        <v>74</v>
      </c>
      <c r="I3" t="s">
        <v>89</v>
      </c>
      <c r="J3" t="s">
        <v>90</v>
      </c>
      <c r="K3" t="s">
        <v>74</v>
      </c>
      <c r="L3" t="s">
        <v>74</v>
      </c>
      <c r="M3" t="s">
        <v>74</v>
      </c>
      <c r="N3" t="s">
        <v>74</v>
      </c>
      <c r="O3" t="s">
        <v>74</v>
      </c>
      <c r="P3" t="s">
        <v>74</v>
      </c>
      <c r="Q3" t="s">
        <v>74</v>
      </c>
      <c r="R3" t="s">
        <v>74</v>
      </c>
      <c r="S3" t="s">
        <v>74</v>
      </c>
      <c r="T3" t="s">
        <v>74</v>
      </c>
      <c r="U3" t="s">
        <v>74</v>
      </c>
      <c r="V3" t="s">
        <v>91</v>
      </c>
      <c r="W3" t="s">
        <v>74</v>
      </c>
      <c r="X3" t="s">
        <v>74</v>
      </c>
      <c r="Y3" t="s">
        <v>74</v>
      </c>
      <c r="Z3" t="s">
        <v>74</v>
      </c>
      <c r="AA3" t="s">
        <v>92</v>
      </c>
      <c r="AB3" t="s">
        <v>74</v>
      </c>
      <c r="AC3" t="s">
        <v>74</v>
      </c>
      <c r="AD3" t="s">
        <v>74</v>
      </c>
      <c r="AE3" t="s">
        <v>74</v>
      </c>
      <c r="AF3" t="s">
        <v>74</v>
      </c>
      <c r="AG3" t="s">
        <v>74</v>
      </c>
      <c r="AH3" t="s">
        <v>74</v>
      </c>
      <c r="AI3" t="s">
        <v>74</v>
      </c>
      <c r="AJ3" t="s">
        <v>74</v>
      </c>
      <c r="AK3" t="s">
        <v>74</v>
      </c>
      <c r="AL3" t="s">
        <v>74</v>
      </c>
      <c r="AM3" t="s">
        <v>74</v>
      </c>
      <c r="AN3" t="s">
        <v>74</v>
      </c>
      <c r="AO3" t="s">
        <v>93</v>
      </c>
      <c r="AP3" t="s">
        <v>94</v>
      </c>
      <c r="AQ3" t="s">
        <v>74</v>
      </c>
      <c r="AR3" t="s">
        <v>74</v>
      </c>
      <c r="AS3" t="s">
        <v>74</v>
      </c>
      <c r="AT3" t="s">
        <v>95</v>
      </c>
      <c r="AU3">
        <v>2025</v>
      </c>
      <c r="AV3">
        <v>223</v>
      </c>
      <c r="AW3" t="s">
        <v>74</v>
      </c>
      <c r="AX3" t="s">
        <v>74</v>
      </c>
      <c r="AY3" t="s">
        <v>74</v>
      </c>
      <c r="AZ3" t="s">
        <v>74</v>
      </c>
      <c r="BA3" t="s">
        <v>74</v>
      </c>
      <c r="BB3" t="s">
        <v>74</v>
      </c>
      <c r="BC3" t="s">
        <v>74</v>
      </c>
      <c r="BD3">
        <v>116070</v>
      </c>
      <c r="BE3" t="s">
        <v>96</v>
      </c>
      <c r="BF3" t="str">
        <f>HYPERLINK("http://dx.doi.org/10.1016/j.rser.2025.116070","http://dx.doi.org/10.1016/j.rser.2025.116070")</f>
        <v>http://dx.doi.org/10.1016/j.rser.2025.116070</v>
      </c>
      <c r="BG3" t="s">
        <v>74</v>
      </c>
      <c r="BH3" t="s">
        <v>74</v>
      </c>
      <c r="BI3" t="s">
        <v>74</v>
      </c>
      <c r="BJ3" t="s">
        <v>74</v>
      </c>
      <c r="BK3" t="s">
        <v>74</v>
      </c>
      <c r="BL3" t="s">
        <v>74</v>
      </c>
      <c r="BM3" t="s">
        <v>74</v>
      </c>
      <c r="BN3" t="s">
        <v>74</v>
      </c>
      <c r="BO3" t="s">
        <v>74</v>
      </c>
      <c r="BP3" t="s">
        <v>74</v>
      </c>
      <c r="BQ3" t="s">
        <v>74</v>
      </c>
      <c r="BR3" t="s">
        <v>74</v>
      </c>
      <c r="BS3" t="s">
        <v>97</v>
      </c>
      <c r="BT3" t="str">
        <f>HYPERLINK("https%3A%2F%2Fwww.webofscience.com%2Fwos%2Fwoscc%2Ffull-record%2FWOS:001538542900001","View Full Record in Web of Science")</f>
        <v>View Full Record in Web of Science</v>
      </c>
    </row>
    <row r="4" spans="1:72" x14ac:dyDescent="0.25">
      <c r="A4" t="s">
        <v>72</v>
      </c>
      <c r="B4" t="s">
        <v>98</v>
      </c>
      <c r="C4" t="s">
        <v>74</v>
      </c>
      <c r="D4" t="s">
        <v>74</v>
      </c>
      <c r="E4" t="s">
        <v>74</v>
      </c>
      <c r="F4" t="s">
        <v>99</v>
      </c>
      <c r="G4" t="s">
        <v>74</v>
      </c>
      <c r="H4" t="s">
        <v>74</v>
      </c>
      <c r="I4" t="s">
        <v>100</v>
      </c>
      <c r="J4" t="s">
        <v>101</v>
      </c>
      <c r="K4" t="s">
        <v>74</v>
      </c>
      <c r="L4" t="s">
        <v>74</v>
      </c>
      <c r="M4" t="s">
        <v>74</v>
      </c>
      <c r="N4" t="s">
        <v>74</v>
      </c>
      <c r="O4" t="s">
        <v>74</v>
      </c>
      <c r="P4" t="s">
        <v>74</v>
      </c>
      <c r="Q4" t="s">
        <v>74</v>
      </c>
      <c r="R4" t="s">
        <v>74</v>
      </c>
      <c r="S4" t="s">
        <v>74</v>
      </c>
      <c r="T4" t="s">
        <v>74</v>
      </c>
      <c r="U4" t="s">
        <v>74</v>
      </c>
      <c r="V4" t="s">
        <v>102</v>
      </c>
      <c r="W4" t="s">
        <v>74</v>
      </c>
      <c r="X4" t="s">
        <v>74</v>
      </c>
      <c r="Y4" t="s">
        <v>74</v>
      </c>
      <c r="Z4" t="s">
        <v>74</v>
      </c>
      <c r="AA4" t="s">
        <v>103</v>
      </c>
      <c r="AB4" t="s">
        <v>74</v>
      </c>
      <c r="AC4" t="s">
        <v>74</v>
      </c>
      <c r="AD4" t="s">
        <v>74</v>
      </c>
      <c r="AE4" t="s">
        <v>74</v>
      </c>
      <c r="AF4" t="s">
        <v>74</v>
      </c>
      <c r="AG4" t="s">
        <v>74</v>
      </c>
      <c r="AH4" t="s">
        <v>74</v>
      </c>
      <c r="AI4" t="s">
        <v>74</v>
      </c>
      <c r="AJ4" t="s">
        <v>74</v>
      </c>
      <c r="AK4" t="s">
        <v>74</v>
      </c>
      <c r="AL4" t="s">
        <v>74</v>
      </c>
      <c r="AM4" t="s">
        <v>74</v>
      </c>
      <c r="AN4" t="s">
        <v>74</v>
      </c>
      <c r="AO4" t="s">
        <v>104</v>
      </c>
      <c r="AP4" t="s">
        <v>74</v>
      </c>
      <c r="AQ4" t="s">
        <v>74</v>
      </c>
      <c r="AR4" t="s">
        <v>74</v>
      </c>
      <c r="AS4" t="s">
        <v>74</v>
      </c>
      <c r="AT4" t="s">
        <v>105</v>
      </c>
      <c r="AU4">
        <v>2025</v>
      </c>
      <c r="AV4">
        <v>20</v>
      </c>
      <c r="AW4">
        <v>2</v>
      </c>
      <c r="AX4" t="s">
        <v>74</v>
      </c>
      <c r="AY4" t="s">
        <v>74</v>
      </c>
      <c r="AZ4" t="s">
        <v>74</v>
      </c>
      <c r="BA4" t="s">
        <v>74</v>
      </c>
      <c r="BB4">
        <v>3689</v>
      </c>
      <c r="BC4">
        <v>3702</v>
      </c>
      <c r="BD4" t="s">
        <v>74</v>
      </c>
      <c r="BE4" t="s">
        <v>106</v>
      </c>
      <c r="BF4" t="str">
        <f>HYPERLINK("http://dx.doi.org/10.15376/biores.20.2.3689-3702","http://dx.doi.org/10.15376/biores.20.2.3689-3702")</f>
        <v>http://dx.doi.org/10.15376/biores.20.2.3689-3702</v>
      </c>
      <c r="BG4" t="s">
        <v>74</v>
      </c>
      <c r="BH4" t="s">
        <v>74</v>
      </c>
      <c r="BI4" t="s">
        <v>74</v>
      </c>
      <c r="BJ4" t="s">
        <v>74</v>
      </c>
      <c r="BK4" t="s">
        <v>74</v>
      </c>
      <c r="BL4" t="s">
        <v>74</v>
      </c>
      <c r="BM4" t="s">
        <v>74</v>
      </c>
      <c r="BN4" t="s">
        <v>74</v>
      </c>
      <c r="BO4" t="s">
        <v>74</v>
      </c>
      <c r="BP4" t="s">
        <v>74</v>
      </c>
      <c r="BQ4" t="s">
        <v>74</v>
      </c>
      <c r="BR4" t="s">
        <v>74</v>
      </c>
      <c r="BS4" t="s">
        <v>107</v>
      </c>
      <c r="BT4" t="str">
        <f>HYPERLINK("https%3A%2F%2Fwww.webofscience.com%2Fwos%2Fwoscc%2Ffull-record%2FWOS:001476647800004","View Full Record in Web of Science")</f>
        <v>View Full Record in Web of Science</v>
      </c>
    </row>
    <row r="5" spans="1:72" x14ac:dyDescent="0.25">
      <c r="A5" t="s">
        <v>72</v>
      </c>
      <c r="B5" t="s">
        <v>108</v>
      </c>
      <c r="C5" t="s">
        <v>74</v>
      </c>
      <c r="D5" t="s">
        <v>74</v>
      </c>
      <c r="E5" t="s">
        <v>74</v>
      </c>
      <c r="F5" t="s">
        <v>109</v>
      </c>
      <c r="G5" t="s">
        <v>74</v>
      </c>
      <c r="H5" t="s">
        <v>74</v>
      </c>
      <c r="I5" t="s">
        <v>110</v>
      </c>
      <c r="J5" t="s">
        <v>111</v>
      </c>
      <c r="K5" t="s">
        <v>74</v>
      </c>
      <c r="L5" t="s">
        <v>74</v>
      </c>
      <c r="M5" t="s">
        <v>74</v>
      </c>
      <c r="N5" t="s">
        <v>74</v>
      </c>
      <c r="O5" t="s">
        <v>74</v>
      </c>
      <c r="P5" t="s">
        <v>74</v>
      </c>
      <c r="Q5" t="s">
        <v>74</v>
      </c>
      <c r="R5" t="s">
        <v>74</v>
      </c>
      <c r="S5" t="s">
        <v>74</v>
      </c>
      <c r="T5" t="s">
        <v>74</v>
      </c>
      <c r="U5" t="s">
        <v>74</v>
      </c>
      <c r="V5" t="s">
        <v>112</v>
      </c>
      <c r="W5" t="s">
        <v>74</v>
      </c>
      <c r="X5" t="s">
        <v>74</v>
      </c>
      <c r="Y5" t="s">
        <v>74</v>
      </c>
      <c r="Z5" t="s">
        <v>74</v>
      </c>
      <c r="AA5" t="s">
        <v>113</v>
      </c>
      <c r="AB5" t="s">
        <v>114</v>
      </c>
      <c r="AC5" t="s">
        <v>74</v>
      </c>
      <c r="AD5" t="s">
        <v>74</v>
      </c>
      <c r="AE5" t="s">
        <v>74</v>
      </c>
      <c r="AF5" t="s">
        <v>74</v>
      </c>
      <c r="AG5" t="s">
        <v>74</v>
      </c>
      <c r="AH5" t="s">
        <v>74</v>
      </c>
      <c r="AI5" t="s">
        <v>74</v>
      </c>
      <c r="AJ5" t="s">
        <v>74</v>
      </c>
      <c r="AK5" t="s">
        <v>74</v>
      </c>
      <c r="AL5" t="s">
        <v>74</v>
      </c>
      <c r="AM5" t="s">
        <v>74</v>
      </c>
      <c r="AN5" t="s">
        <v>74</v>
      </c>
      <c r="AO5" t="s">
        <v>115</v>
      </c>
      <c r="AP5" t="s">
        <v>116</v>
      </c>
      <c r="AQ5" t="s">
        <v>74</v>
      </c>
      <c r="AR5" t="s">
        <v>74</v>
      </c>
      <c r="AS5" t="s">
        <v>74</v>
      </c>
      <c r="AT5" t="s">
        <v>105</v>
      </c>
      <c r="AU5">
        <v>2025</v>
      </c>
      <c r="AV5">
        <v>29</v>
      </c>
      <c r="AW5">
        <v>5</v>
      </c>
      <c r="AX5" t="s">
        <v>74</v>
      </c>
      <c r="AY5" t="s">
        <v>74</v>
      </c>
      <c r="AZ5" t="s">
        <v>74</v>
      </c>
      <c r="BA5" t="s">
        <v>74</v>
      </c>
      <c r="BB5" t="s">
        <v>74</v>
      </c>
      <c r="BC5" t="s">
        <v>74</v>
      </c>
      <c r="BD5" t="s">
        <v>117</v>
      </c>
      <c r="BE5" t="s">
        <v>118</v>
      </c>
      <c r="BF5" t="str">
        <f>HYPERLINK("http://dx.doi.org/10.1590/1807-1929/agriambi.v29n5e287587","http://dx.doi.org/10.1590/1807-1929/agriambi.v29n5e287587")</f>
        <v>http://dx.doi.org/10.1590/1807-1929/agriambi.v29n5e287587</v>
      </c>
      <c r="BG5" t="s">
        <v>74</v>
      </c>
      <c r="BH5" t="s">
        <v>74</v>
      </c>
      <c r="BI5" t="s">
        <v>74</v>
      </c>
      <c r="BJ5" t="s">
        <v>74</v>
      </c>
      <c r="BK5" t="s">
        <v>74</v>
      </c>
      <c r="BL5" t="s">
        <v>74</v>
      </c>
      <c r="BM5" t="s">
        <v>74</v>
      </c>
      <c r="BN5" t="s">
        <v>74</v>
      </c>
      <c r="BO5" t="s">
        <v>74</v>
      </c>
      <c r="BP5" t="s">
        <v>74</v>
      </c>
      <c r="BQ5" t="s">
        <v>74</v>
      </c>
      <c r="BR5" t="s">
        <v>74</v>
      </c>
      <c r="BS5" t="s">
        <v>119</v>
      </c>
      <c r="BT5" t="str">
        <f>HYPERLINK("https%3A%2F%2Fwww.webofscience.com%2Fwos%2Fwoscc%2Ffull-record%2FWOS:001401482800001","View Full Record in Web of Science")</f>
        <v>View Full Record in Web of Science</v>
      </c>
    </row>
    <row r="6" spans="1:72" x14ac:dyDescent="0.25">
      <c r="A6" t="s">
        <v>72</v>
      </c>
      <c r="B6" t="s">
        <v>120</v>
      </c>
      <c r="C6" t="s">
        <v>74</v>
      </c>
      <c r="D6" t="s">
        <v>74</v>
      </c>
      <c r="E6" t="s">
        <v>74</v>
      </c>
      <c r="F6" t="s">
        <v>121</v>
      </c>
      <c r="G6" t="s">
        <v>74</v>
      </c>
      <c r="H6" t="s">
        <v>74</v>
      </c>
      <c r="I6" t="s">
        <v>122</v>
      </c>
      <c r="J6" t="s">
        <v>123</v>
      </c>
      <c r="K6" t="s">
        <v>74</v>
      </c>
      <c r="L6" t="s">
        <v>74</v>
      </c>
      <c r="M6" t="s">
        <v>74</v>
      </c>
      <c r="N6" t="s">
        <v>74</v>
      </c>
      <c r="O6" t="s">
        <v>74</v>
      </c>
      <c r="P6" t="s">
        <v>74</v>
      </c>
      <c r="Q6" t="s">
        <v>74</v>
      </c>
      <c r="R6" t="s">
        <v>74</v>
      </c>
      <c r="S6" t="s">
        <v>74</v>
      </c>
      <c r="T6" t="s">
        <v>74</v>
      </c>
      <c r="U6" t="s">
        <v>74</v>
      </c>
      <c r="V6" t="s">
        <v>124</v>
      </c>
      <c r="W6" t="s">
        <v>74</v>
      </c>
      <c r="X6" t="s">
        <v>74</v>
      </c>
      <c r="Y6" t="s">
        <v>74</v>
      </c>
      <c r="Z6" t="s">
        <v>74</v>
      </c>
      <c r="AA6" t="s">
        <v>125</v>
      </c>
      <c r="AB6" t="s">
        <v>74</v>
      </c>
      <c r="AC6" t="s">
        <v>74</v>
      </c>
      <c r="AD6" t="s">
        <v>74</v>
      </c>
      <c r="AE6" t="s">
        <v>74</v>
      </c>
      <c r="AF6" t="s">
        <v>74</v>
      </c>
      <c r="AG6" t="s">
        <v>74</v>
      </c>
      <c r="AH6" t="s">
        <v>74</v>
      </c>
      <c r="AI6" t="s">
        <v>74</v>
      </c>
      <c r="AJ6" t="s">
        <v>74</v>
      </c>
      <c r="AK6" t="s">
        <v>74</v>
      </c>
      <c r="AL6" t="s">
        <v>74</v>
      </c>
      <c r="AM6" t="s">
        <v>74</v>
      </c>
      <c r="AN6" t="s">
        <v>74</v>
      </c>
      <c r="AO6" t="s">
        <v>74</v>
      </c>
      <c r="AP6" t="s">
        <v>126</v>
      </c>
      <c r="AQ6" t="s">
        <v>74</v>
      </c>
      <c r="AR6" t="s">
        <v>74</v>
      </c>
      <c r="AS6" t="s">
        <v>74</v>
      </c>
      <c r="AT6" t="s">
        <v>127</v>
      </c>
      <c r="AU6">
        <v>2025</v>
      </c>
      <c r="AV6">
        <v>43</v>
      </c>
      <c r="AW6" t="s">
        <v>74</v>
      </c>
      <c r="AX6" t="s">
        <v>74</v>
      </c>
      <c r="AY6" t="s">
        <v>74</v>
      </c>
      <c r="AZ6" t="s">
        <v>74</v>
      </c>
      <c r="BA6" t="s">
        <v>74</v>
      </c>
      <c r="BB6" t="s">
        <v>74</v>
      </c>
      <c r="BC6" t="s">
        <v>74</v>
      </c>
      <c r="BD6">
        <v>101908</v>
      </c>
      <c r="BE6" t="s">
        <v>128</v>
      </c>
      <c r="BF6" t="str">
        <f>HYPERLINK("http://dx.doi.org/10.1016/j.scp.2025.101908","http://dx.doi.org/10.1016/j.scp.2025.101908")</f>
        <v>http://dx.doi.org/10.1016/j.scp.2025.101908</v>
      </c>
      <c r="BG6" t="s">
        <v>74</v>
      </c>
      <c r="BH6" t="s">
        <v>74</v>
      </c>
      <c r="BI6" t="s">
        <v>74</v>
      </c>
      <c r="BJ6" t="s">
        <v>74</v>
      </c>
      <c r="BK6" t="s">
        <v>74</v>
      </c>
      <c r="BL6" t="s">
        <v>74</v>
      </c>
      <c r="BM6" t="s">
        <v>74</v>
      </c>
      <c r="BN6" t="s">
        <v>74</v>
      </c>
      <c r="BO6" t="s">
        <v>74</v>
      </c>
      <c r="BP6" t="s">
        <v>74</v>
      </c>
      <c r="BQ6" t="s">
        <v>74</v>
      </c>
      <c r="BR6" t="s">
        <v>74</v>
      </c>
      <c r="BS6" t="s">
        <v>129</v>
      </c>
      <c r="BT6" t="str">
        <f>HYPERLINK("https%3A%2F%2Fwww.webofscience.com%2Fwos%2Fwoscc%2Ffull-record%2FWOS:001405640600001","View Full Record in Web of Science")</f>
        <v>View Full Record in Web of Science</v>
      </c>
    </row>
    <row r="7" spans="1:72" x14ac:dyDescent="0.25">
      <c r="A7" t="s">
        <v>72</v>
      </c>
      <c r="B7" t="s">
        <v>130</v>
      </c>
      <c r="C7" t="s">
        <v>74</v>
      </c>
      <c r="D7" t="s">
        <v>74</v>
      </c>
      <c r="E7" t="s">
        <v>74</v>
      </c>
      <c r="F7" t="s">
        <v>131</v>
      </c>
      <c r="G7" t="s">
        <v>74</v>
      </c>
      <c r="H7" t="s">
        <v>74</v>
      </c>
      <c r="I7" t="s">
        <v>132</v>
      </c>
      <c r="J7" t="s">
        <v>133</v>
      </c>
      <c r="K7" t="s">
        <v>74</v>
      </c>
      <c r="L7" t="s">
        <v>74</v>
      </c>
      <c r="M7" t="s">
        <v>74</v>
      </c>
      <c r="N7" t="s">
        <v>74</v>
      </c>
      <c r="O7" t="s">
        <v>74</v>
      </c>
      <c r="P7" t="s">
        <v>74</v>
      </c>
      <c r="Q7" t="s">
        <v>74</v>
      </c>
      <c r="R7" t="s">
        <v>74</v>
      </c>
      <c r="S7" t="s">
        <v>74</v>
      </c>
      <c r="T7" t="s">
        <v>74</v>
      </c>
      <c r="U7" t="s">
        <v>74</v>
      </c>
      <c r="V7" t="s">
        <v>134</v>
      </c>
      <c r="W7" t="s">
        <v>74</v>
      </c>
      <c r="X7" t="s">
        <v>74</v>
      </c>
      <c r="Y7" t="s">
        <v>74</v>
      </c>
      <c r="Z7" t="s">
        <v>74</v>
      </c>
      <c r="AA7" t="s">
        <v>135</v>
      </c>
      <c r="AB7" t="s">
        <v>74</v>
      </c>
      <c r="AC7" t="s">
        <v>74</v>
      </c>
      <c r="AD7" t="s">
        <v>74</v>
      </c>
      <c r="AE7" t="s">
        <v>74</v>
      </c>
      <c r="AF7" t="s">
        <v>74</v>
      </c>
      <c r="AG7" t="s">
        <v>74</v>
      </c>
      <c r="AH7" t="s">
        <v>74</v>
      </c>
      <c r="AI7" t="s">
        <v>74</v>
      </c>
      <c r="AJ7" t="s">
        <v>74</v>
      </c>
      <c r="AK7" t="s">
        <v>74</v>
      </c>
      <c r="AL7" t="s">
        <v>74</v>
      </c>
      <c r="AM7" t="s">
        <v>74</v>
      </c>
      <c r="AN7" t="s">
        <v>74</v>
      </c>
      <c r="AO7" t="s">
        <v>136</v>
      </c>
      <c r="AP7" t="s">
        <v>137</v>
      </c>
      <c r="AQ7" t="s">
        <v>74</v>
      </c>
      <c r="AR7" t="s">
        <v>74</v>
      </c>
      <c r="AS7" t="s">
        <v>74</v>
      </c>
      <c r="AT7" t="s">
        <v>138</v>
      </c>
      <c r="AU7">
        <v>2025</v>
      </c>
      <c r="AV7">
        <v>41</v>
      </c>
      <c r="AW7">
        <v>2</v>
      </c>
      <c r="AX7" t="s">
        <v>74</v>
      </c>
      <c r="AY7" t="s">
        <v>74</v>
      </c>
      <c r="AZ7" t="s">
        <v>139</v>
      </c>
      <c r="BA7" t="s">
        <v>74</v>
      </c>
      <c r="BB7">
        <v>307</v>
      </c>
      <c r="BC7">
        <v>318</v>
      </c>
      <c r="BD7" t="s">
        <v>74</v>
      </c>
      <c r="BE7" t="s">
        <v>140</v>
      </c>
      <c r="BF7" t="str">
        <f>HYPERLINK("http://dx.doi.org/10.12989/gae.2025.41.2.307","http://dx.doi.org/10.12989/gae.2025.41.2.307")</f>
        <v>http://dx.doi.org/10.12989/gae.2025.41.2.307</v>
      </c>
      <c r="BG7" t="s">
        <v>74</v>
      </c>
      <c r="BH7" t="s">
        <v>74</v>
      </c>
      <c r="BI7" t="s">
        <v>74</v>
      </c>
      <c r="BJ7" t="s">
        <v>74</v>
      </c>
      <c r="BK7" t="s">
        <v>74</v>
      </c>
      <c r="BL7" t="s">
        <v>74</v>
      </c>
      <c r="BM7" t="s">
        <v>74</v>
      </c>
      <c r="BN7" t="s">
        <v>74</v>
      </c>
      <c r="BO7" t="s">
        <v>74</v>
      </c>
      <c r="BP7" t="s">
        <v>74</v>
      </c>
      <c r="BQ7" t="s">
        <v>74</v>
      </c>
      <c r="BR7" t="s">
        <v>74</v>
      </c>
      <c r="BS7" t="s">
        <v>141</v>
      </c>
      <c r="BT7" t="str">
        <f>HYPERLINK("https%3A%2F%2Fwww.webofscience.com%2Fwos%2Fwoscc%2Ffull-record%2FWOS:001501149900015","View Full Record in Web of Science")</f>
        <v>View Full Record in Web of Science</v>
      </c>
    </row>
    <row r="8" spans="1:72" x14ac:dyDescent="0.25">
      <c r="A8" t="s">
        <v>72</v>
      </c>
      <c r="B8" t="s">
        <v>142</v>
      </c>
      <c r="C8" t="s">
        <v>74</v>
      </c>
      <c r="D8" t="s">
        <v>74</v>
      </c>
      <c r="E8" t="s">
        <v>74</v>
      </c>
      <c r="F8" t="s">
        <v>143</v>
      </c>
      <c r="G8" t="s">
        <v>74</v>
      </c>
      <c r="H8" t="s">
        <v>74</v>
      </c>
      <c r="I8" t="s">
        <v>144</v>
      </c>
      <c r="J8" t="s">
        <v>101</v>
      </c>
      <c r="K8" t="s">
        <v>74</v>
      </c>
      <c r="L8" t="s">
        <v>74</v>
      </c>
      <c r="M8" t="s">
        <v>74</v>
      </c>
      <c r="N8" t="s">
        <v>74</v>
      </c>
      <c r="O8" t="s">
        <v>74</v>
      </c>
      <c r="P8" t="s">
        <v>74</v>
      </c>
      <c r="Q8" t="s">
        <v>74</v>
      </c>
      <c r="R8" t="s">
        <v>74</v>
      </c>
      <c r="S8" t="s">
        <v>74</v>
      </c>
      <c r="T8" t="s">
        <v>74</v>
      </c>
      <c r="U8" t="s">
        <v>74</v>
      </c>
      <c r="V8" t="s">
        <v>145</v>
      </c>
      <c r="W8" t="s">
        <v>74</v>
      </c>
      <c r="X8" t="s">
        <v>74</v>
      </c>
      <c r="Y8" t="s">
        <v>74</v>
      </c>
      <c r="Z8" t="s">
        <v>74</v>
      </c>
      <c r="AA8" t="s">
        <v>146</v>
      </c>
      <c r="AB8" t="s">
        <v>147</v>
      </c>
      <c r="AC8" t="s">
        <v>74</v>
      </c>
      <c r="AD8" t="s">
        <v>74</v>
      </c>
      <c r="AE8" t="s">
        <v>74</v>
      </c>
      <c r="AF8" t="s">
        <v>74</v>
      </c>
      <c r="AG8" t="s">
        <v>74</v>
      </c>
      <c r="AH8" t="s">
        <v>74</v>
      </c>
      <c r="AI8" t="s">
        <v>74</v>
      </c>
      <c r="AJ8" t="s">
        <v>74</v>
      </c>
      <c r="AK8" t="s">
        <v>74</v>
      </c>
      <c r="AL8" t="s">
        <v>74</v>
      </c>
      <c r="AM8" t="s">
        <v>74</v>
      </c>
      <c r="AN8" t="s">
        <v>74</v>
      </c>
      <c r="AO8" t="s">
        <v>104</v>
      </c>
      <c r="AP8" t="s">
        <v>74</v>
      </c>
      <c r="AQ8" t="s">
        <v>74</v>
      </c>
      <c r="AR8" t="s">
        <v>74</v>
      </c>
      <c r="AS8" t="s">
        <v>74</v>
      </c>
      <c r="AT8" t="s">
        <v>148</v>
      </c>
      <c r="AU8">
        <v>2025</v>
      </c>
      <c r="AV8">
        <v>20</v>
      </c>
      <c r="AW8">
        <v>3</v>
      </c>
      <c r="AX8" t="s">
        <v>74</v>
      </c>
      <c r="AY8" t="s">
        <v>74</v>
      </c>
      <c r="AZ8" t="s">
        <v>74</v>
      </c>
      <c r="BA8" t="s">
        <v>74</v>
      </c>
      <c r="BB8">
        <v>5561</v>
      </c>
      <c r="BC8">
        <v>5574</v>
      </c>
      <c r="BD8" t="s">
        <v>74</v>
      </c>
      <c r="BE8" t="s">
        <v>149</v>
      </c>
      <c r="BF8" t="str">
        <f>HYPERLINK("http://dx.doi.org/10.15376/biores.20.3.5561-5574","http://dx.doi.org/10.15376/biores.20.3.5561-5574")</f>
        <v>http://dx.doi.org/10.15376/biores.20.3.5561-5574</v>
      </c>
      <c r="BG8" t="s">
        <v>74</v>
      </c>
      <c r="BH8" t="s">
        <v>74</v>
      </c>
      <c r="BI8" t="s">
        <v>74</v>
      </c>
      <c r="BJ8" t="s">
        <v>74</v>
      </c>
      <c r="BK8" t="s">
        <v>74</v>
      </c>
      <c r="BL8" t="s">
        <v>74</v>
      </c>
      <c r="BM8" t="s">
        <v>74</v>
      </c>
      <c r="BN8" t="s">
        <v>74</v>
      </c>
      <c r="BO8" t="s">
        <v>74</v>
      </c>
      <c r="BP8" t="s">
        <v>74</v>
      </c>
      <c r="BQ8" t="s">
        <v>74</v>
      </c>
      <c r="BR8" t="s">
        <v>74</v>
      </c>
      <c r="BS8" t="s">
        <v>150</v>
      </c>
      <c r="BT8" t="str">
        <f>HYPERLINK("https%3A%2F%2Fwww.webofscience.com%2Fwos%2Fwoscc%2Ffull-record%2FWOS:001509256300013","View Full Record in Web of Science")</f>
        <v>View Full Record in Web of Science</v>
      </c>
    </row>
    <row r="9" spans="1:72" x14ac:dyDescent="0.25">
      <c r="A9" t="s">
        <v>72</v>
      </c>
      <c r="B9" t="s">
        <v>151</v>
      </c>
      <c r="C9" t="s">
        <v>74</v>
      </c>
      <c r="D9" t="s">
        <v>74</v>
      </c>
      <c r="E9" t="s">
        <v>74</v>
      </c>
      <c r="F9" t="s">
        <v>152</v>
      </c>
      <c r="G9" t="s">
        <v>74</v>
      </c>
      <c r="H9" t="s">
        <v>74</v>
      </c>
      <c r="I9" t="s">
        <v>153</v>
      </c>
      <c r="J9" t="s">
        <v>154</v>
      </c>
      <c r="K9" t="s">
        <v>74</v>
      </c>
      <c r="L9" t="s">
        <v>74</v>
      </c>
      <c r="M9" t="s">
        <v>74</v>
      </c>
      <c r="N9" t="s">
        <v>74</v>
      </c>
      <c r="O9" t="s">
        <v>74</v>
      </c>
      <c r="P9" t="s">
        <v>74</v>
      </c>
      <c r="Q9" t="s">
        <v>74</v>
      </c>
      <c r="R9" t="s">
        <v>74</v>
      </c>
      <c r="S9" t="s">
        <v>74</v>
      </c>
      <c r="T9" t="s">
        <v>74</v>
      </c>
      <c r="U9" t="s">
        <v>74</v>
      </c>
      <c r="V9" t="s">
        <v>155</v>
      </c>
      <c r="W9" t="s">
        <v>74</v>
      </c>
      <c r="X9" t="s">
        <v>74</v>
      </c>
      <c r="Y9" t="s">
        <v>74</v>
      </c>
      <c r="Z9" t="s">
        <v>74</v>
      </c>
      <c r="AA9" t="s">
        <v>74</v>
      </c>
      <c r="AB9" t="s">
        <v>156</v>
      </c>
      <c r="AC9" t="s">
        <v>74</v>
      </c>
      <c r="AD9" t="s">
        <v>74</v>
      </c>
      <c r="AE9" t="s">
        <v>74</v>
      </c>
      <c r="AF9" t="s">
        <v>74</v>
      </c>
      <c r="AG9" t="s">
        <v>74</v>
      </c>
      <c r="AH9" t="s">
        <v>74</v>
      </c>
      <c r="AI9" t="s">
        <v>74</v>
      </c>
      <c r="AJ9" t="s">
        <v>74</v>
      </c>
      <c r="AK9" t="s">
        <v>74</v>
      </c>
      <c r="AL9" t="s">
        <v>74</v>
      </c>
      <c r="AM9" t="s">
        <v>74</v>
      </c>
      <c r="AN9" t="s">
        <v>74</v>
      </c>
      <c r="AO9" t="s">
        <v>74</v>
      </c>
      <c r="AP9" t="s">
        <v>157</v>
      </c>
      <c r="AQ9" t="s">
        <v>74</v>
      </c>
      <c r="AR9" t="s">
        <v>74</v>
      </c>
      <c r="AS9" t="s">
        <v>74</v>
      </c>
      <c r="AT9" t="s">
        <v>127</v>
      </c>
      <c r="AU9">
        <v>2025</v>
      </c>
      <c r="AV9">
        <v>14</v>
      </c>
      <c r="AW9">
        <v>3</v>
      </c>
      <c r="AX9" t="s">
        <v>74</v>
      </c>
      <c r="AY9" t="s">
        <v>74</v>
      </c>
      <c r="AZ9" t="s">
        <v>74</v>
      </c>
      <c r="BA9" t="s">
        <v>74</v>
      </c>
      <c r="BB9" t="s">
        <v>74</v>
      </c>
      <c r="BC9" t="s">
        <v>74</v>
      </c>
      <c r="BD9">
        <v>495</v>
      </c>
      <c r="BE9" t="s">
        <v>158</v>
      </c>
      <c r="BF9" t="str">
        <f>HYPERLINK("http://dx.doi.org/10.3390/foods14030495","http://dx.doi.org/10.3390/foods14030495")</f>
        <v>http://dx.doi.org/10.3390/foods14030495</v>
      </c>
      <c r="BG9" t="s">
        <v>74</v>
      </c>
      <c r="BH9" t="s">
        <v>74</v>
      </c>
      <c r="BI9" t="s">
        <v>74</v>
      </c>
      <c r="BJ9" t="s">
        <v>74</v>
      </c>
      <c r="BK9" t="s">
        <v>74</v>
      </c>
      <c r="BL9" t="s">
        <v>74</v>
      </c>
      <c r="BM9" t="s">
        <v>74</v>
      </c>
      <c r="BN9">
        <v>39942088</v>
      </c>
      <c r="BO9" t="s">
        <v>74</v>
      </c>
      <c r="BP9" t="s">
        <v>74</v>
      </c>
      <c r="BQ9" t="s">
        <v>74</v>
      </c>
      <c r="BR9" t="s">
        <v>74</v>
      </c>
      <c r="BS9" t="s">
        <v>159</v>
      </c>
      <c r="BT9" t="str">
        <f>HYPERLINK("https%3A%2F%2Fwww.webofscience.com%2Fwos%2Fwoscc%2Ffull-record%2FWOS:001418542200001","View Full Record in Web of Science")</f>
        <v>View Full Record in Web of Science</v>
      </c>
    </row>
    <row r="10" spans="1:72" x14ac:dyDescent="0.25">
      <c r="A10" t="s">
        <v>72</v>
      </c>
      <c r="B10" t="s">
        <v>160</v>
      </c>
      <c r="C10" t="s">
        <v>74</v>
      </c>
      <c r="D10" t="s">
        <v>74</v>
      </c>
      <c r="E10" t="s">
        <v>74</v>
      </c>
      <c r="F10" t="s">
        <v>161</v>
      </c>
      <c r="G10" t="s">
        <v>74</v>
      </c>
      <c r="H10" t="s">
        <v>74</v>
      </c>
      <c r="I10" t="s">
        <v>162</v>
      </c>
      <c r="J10" t="s">
        <v>101</v>
      </c>
      <c r="K10" t="s">
        <v>74</v>
      </c>
      <c r="L10" t="s">
        <v>74</v>
      </c>
      <c r="M10" t="s">
        <v>74</v>
      </c>
      <c r="N10" t="s">
        <v>74</v>
      </c>
      <c r="O10" t="s">
        <v>74</v>
      </c>
      <c r="P10" t="s">
        <v>74</v>
      </c>
      <c r="Q10" t="s">
        <v>74</v>
      </c>
      <c r="R10" t="s">
        <v>74</v>
      </c>
      <c r="S10" t="s">
        <v>74</v>
      </c>
      <c r="T10" t="s">
        <v>74</v>
      </c>
      <c r="U10" t="s">
        <v>74</v>
      </c>
      <c r="V10" t="s">
        <v>163</v>
      </c>
      <c r="W10" t="s">
        <v>74</v>
      </c>
      <c r="X10" t="s">
        <v>74</v>
      </c>
      <c r="Y10" t="s">
        <v>74</v>
      </c>
      <c r="Z10" t="s">
        <v>74</v>
      </c>
      <c r="AA10" t="s">
        <v>164</v>
      </c>
      <c r="AB10" t="s">
        <v>165</v>
      </c>
      <c r="AC10" t="s">
        <v>74</v>
      </c>
      <c r="AD10" t="s">
        <v>74</v>
      </c>
      <c r="AE10" t="s">
        <v>74</v>
      </c>
      <c r="AF10" t="s">
        <v>74</v>
      </c>
      <c r="AG10" t="s">
        <v>74</v>
      </c>
      <c r="AH10" t="s">
        <v>74</v>
      </c>
      <c r="AI10" t="s">
        <v>74</v>
      </c>
      <c r="AJ10" t="s">
        <v>74</v>
      </c>
      <c r="AK10" t="s">
        <v>74</v>
      </c>
      <c r="AL10" t="s">
        <v>74</v>
      </c>
      <c r="AM10" t="s">
        <v>74</v>
      </c>
      <c r="AN10" t="s">
        <v>74</v>
      </c>
      <c r="AO10" t="s">
        <v>104</v>
      </c>
      <c r="AP10" t="s">
        <v>74</v>
      </c>
      <c r="AQ10" t="s">
        <v>74</v>
      </c>
      <c r="AR10" t="s">
        <v>74</v>
      </c>
      <c r="AS10" t="s">
        <v>74</v>
      </c>
      <c r="AT10" t="s">
        <v>127</v>
      </c>
      <c r="AU10">
        <v>2025</v>
      </c>
      <c r="AV10">
        <v>20</v>
      </c>
      <c r="AW10">
        <v>1</v>
      </c>
      <c r="AX10" t="s">
        <v>74</v>
      </c>
      <c r="AY10" t="s">
        <v>74</v>
      </c>
      <c r="AZ10" t="s">
        <v>74</v>
      </c>
      <c r="BA10" t="s">
        <v>74</v>
      </c>
      <c r="BB10">
        <v>2391</v>
      </c>
      <c r="BC10">
        <v>2458</v>
      </c>
      <c r="BD10" t="s">
        <v>74</v>
      </c>
      <c r="BE10" t="s">
        <v>166</v>
      </c>
      <c r="BF10" t="str">
        <f>HYPERLINK("http://dx.doi.org/10.15376/biores.20.1.Hubbe","http://dx.doi.org/10.15376/biores.20.1.Hubbe")</f>
        <v>http://dx.doi.org/10.15376/biores.20.1.Hubbe</v>
      </c>
      <c r="BG10" t="s">
        <v>74</v>
      </c>
      <c r="BH10" t="s">
        <v>74</v>
      </c>
      <c r="BI10" t="s">
        <v>74</v>
      </c>
      <c r="BJ10" t="s">
        <v>74</v>
      </c>
      <c r="BK10" t="s">
        <v>74</v>
      </c>
      <c r="BL10" t="s">
        <v>74</v>
      </c>
      <c r="BM10" t="s">
        <v>74</v>
      </c>
      <c r="BN10" t="s">
        <v>74</v>
      </c>
      <c r="BO10" t="s">
        <v>74</v>
      </c>
      <c r="BP10" t="s">
        <v>74</v>
      </c>
      <c r="BQ10" t="s">
        <v>74</v>
      </c>
      <c r="BR10" t="s">
        <v>74</v>
      </c>
      <c r="BS10" t="s">
        <v>167</v>
      </c>
      <c r="BT10" t="str">
        <f>HYPERLINK("https%3A%2F%2Fwww.webofscience.com%2Fwos%2Fwoscc%2Ffull-record%2FWOS:001452828700041","View Full Record in Web of Science")</f>
        <v>View Full Record in Web of Science</v>
      </c>
    </row>
    <row r="11" spans="1:72" x14ac:dyDescent="0.25">
      <c r="A11" t="s">
        <v>72</v>
      </c>
      <c r="B11" t="s">
        <v>168</v>
      </c>
      <c r="C11" t="s">
        <v>74</v>
      </c>
      <c r="D11" t="s">
        <v>74</v>
      </c>
      <c r="E11" t="s">
        <v>74</v>
      </c>
      <c r="F11" t="s">
        <v>169</v>
      </c>
      <c r="G11" t="s">
        <v>74</v>
      </c>
      <c r="H11" t="s">
        <v>74</v>
      </c>
      <c r="I11" t="s">
        <v>170</v>
      </c>
      <c r="J11" t="s">
        <v>171</v>
      </c>
      <c r="K11" t="s">
        <v>74</v>
      </c>
      <c r="L11" t="s">
        <v>74</v>
      </c>
      <c r="M11" t="s">
        <v>74</v>
      </c>
      <c r="N11" t="s">
        <v>74</v>
      </c>
      <c r="O11" t="s">
        <v>74</v>
      </c>
      <c r="P11" t="s">
        <v>74</v>
      </c>
      <c r="Q11" t="s">
        <v>74</v>
      </c>
      <c r="R11" t="s">
        <v>74</v>
      </c>
      <c r="S11" t="s">
        <v>74</v>
      </c>
      <c r="T11" t="s">
        <v>74</v>
      </c>
      <c r="U11" t="s">
        <v>74</v>
      </c>
      <c r="V11" t="s">
        <v>172</v>
      </c>
      <c r="W11" t="s">
        <v>74</v>
      </c>
      <c r="X11" t="s">
        <v>74</v>
      </c>
      <c r="Y11" t="s">
        <v>74</v>
      </c>
      <c r="Z11" t="s">
        <v>74</v>
      </c>
      <c r="AA11" t="s">
        <v>173</v>
      </c>
      <c r="AB11" t="s">
        <v>174</v>
      </c>
      <c r="AC11" t="s">
        <v>74</v>
      </c>
      <c r="AD11" t="s">
        <v>74</v>
      </c>
      <c r="AE11" t="s">
        <v>74</v>
      </c>
      <c r="AF11" t="s">
        <v>74</v>
      </c>
      <c r="AG11" t="s">
        <v>74</v>
      </c>
      <c r="AH11" t="s">
        <v>74</v>
      </c>
      <c r="AI11" t="s">
        <v>74</v>
      </c>
      <c r="AJ11" t="s">
        <v>74</v>
      </c>
      <c r="AK11" t="s">
        <v>74</v>
      </c>
      <c r="AL11" t="s">
        <v>74</v>
      </c>
      <c r="AM11" t="s">
        <v>74</v>
      </c>
      <c r="AN11" t="s">
        <v>74</v>
      </c>
      <c r="AO11" t="s">
        <v>175</v>
      </c>
      <c r="AP11" t="s">
        <v>176</v>
      </c>
      <c r="AQ11" t="s">
        <v>74</v>
      </c>
      <c r="AR11" t="s">
        <v>74</v>
      </c>
      <c r="AS11" t="s">
        <v>74</v>
      </c>
      <c r="AT11" t="s">
        <v>177</v>
      </c>
      <c r="AU11">
        <v>2025</v>
      </c>
      <c r="AV11">
        <v>72</v>
      </c>
      <c r="AW11" t="s">
        <v>74</v>
      </c>
      <c r="AX11" t="s">
        <v>74</v>
      </c>
      <c r="AY11" t="s">
        <v>74</v>
      </c>
      <c r="AZ11" t="s">
        <v>74</v>
      </c>
      <c r="BA11" t="s">
        <v>74</v>
      </c>
      <c r="BB11">
        <v>229</v>
      </c>
      <c r="BC11">
        <v>263</v>
      </c>
      <c r="BD11" t="s">
        <v>74</v>
      </c>
      <c r="BE11" t="s">
        <v>178</v>
      </c>
      <c r="BF11" t="str">
        <f>HYPERLINK("http://dx.doi.org/10.1016/j.jare.2024.07.001","http://dx.doi.org/10.1016/j.jare.2024.07.001")</f>
        <v>http://dx.doi.org/10.1016/j.jare.2024.07.001</v>
      </c>
      <c r="BG11" t="s">
        <v>74</v>
      </c>
      <c r="BH11" t="s">
        <v>74</v>
      </c>
      <c r="BI11" t="s">
        <v>74</v>
      </c>
      <c r="BJ11" t="s">
        <v>74</v>
      </c>
      <c r="BK11" t="s">
        <v>74</v>
      </c>
      <c r="BL11" t="s">
        <v>74</v>
      </c>
      <c r="BM11" t="s">
        <v>74</v>
      </c>
      <c r="BN11">
        <v>38969092</v>
      </c>
      <c r="BO11" t="s">
        <v>74</v>
      </c>
      <c r="BP11" t="s">
        <v>74</v>
      </c>
      <c r="BQ11" t="s">
        <v>74</v>
      </c>
      <c r="BR11" t="s">
        <v>74</v>
      </c>
      <c r="BS11" t="s">
        <v>179</v>
      </c>
      <c r="BT11" t="str">
        <f>HYPERLINK("https%3A%2F%2Fwww.webofscience.com%2Fwos%2Fwoscc%2Ffull-record%2FWOS:001502002000002","View Full Record in Web of Science")</f>
        <v>View Full Record in Web of Science</v>
      </c>
    </row>
    <row r="12" spans="1:72" x14ac:dyDescent="0.25">
      <c r="A12" t="s">
        <v>72</v>
      </c>
      <c r="B12" t="s">
        <v>180</v>
      </c>
      <c r="C12" t="s">
        <v>74</v>
      </c>
      <c r="D12" t="s">
        <v>74</v>
      </c>
      <c r="E12" t="s">
        <v>74</v>
      </c>
      <c r="F12" t="s">
        <v>181</v>
      </c>
      <c r="G12" t="s">
        <v>74</v>
      </c>
      <c r="H12" t="s">
        <v>74</v>
      </c>
      <c r="I12" t="s">
        <v>182</v>
      </c>
      <c r="J12" t="s">
        <v>183</v>
      </c>
      <c r="K12" t="s">
        <v>74</v>
      </c>
      <c r="L12" t="s">
        <v>74</v>
      </c>
      <c r="M12" t="s">
        <v>74</v>
      </c>
      <c r="N12" t="s">
        <v>74</v>
      </c>
      <c r="O12" t="s">
        <v>74</v>
      </c>
      <c r="P12" t="s">
        <v>74</v>
      </c>
      <c r="Q12" t="s">
        <v>74</v>
      </c>
      <c r="R12" t="s">
        <v>74</v>
      </c>
      <c r="S12" t="s">
        <v>74</v>
      </c>
      <c r="T12" t="s">
        <v>74</v>
      </c>
      <c r="U12" t="s">
        <v>74</v>
      </c>
      <c r="V12" t="s">
        <v>184</v>
      </c>
      <c r="W12" t="s">
        <v>74</v>
      </c>
      <c r="X12" t="s">
        <v>74</v>
      </c>
      <c r="Y12" t="s">
        <v>74</v>
      </c>
      <c r="Z12" t="s">
        <v>74</v>
      </c>
      <c r="AA12" t="s">
        <v>185</v>
      </c>
      <c r="AB12" t="s">
        <v>186</v>
      </c>
      <c r="AC12" t="s">
        <v>74</v>
      </c>
      <c r="AD12" t="s">
        <v>74</v>
      </c>
      <c r="AE12" t="s">
        <v>74</v>
      </c>
      <c r="AF12" t="s">
        <v>74</v>
      </c>
      <c r="AG12" t="s">
        <v>74</v>
      </c>
      <c r="AH12" t="s">
        <v>74</v>
      </c>
      <c r="AI12" t="s">
        <v>74</v>
      </c>
      <c r="AJ12" t="s">
        <v>74</v>
      </c>
      <c r="AK12" t="s">
        <v>74</v>
      </c>
      <c r="AL12" t="s">
        <v>74</v>
      </c>
      <c r="AM12" t="s">
        <v>74</v>
      </c>
      <c r="AN12" t="s">
        <v>74</v>
      </c>
      <c r="AO12" t="s">
        <v>74</v>
      </c>
      <c r="AP12" t="s">
        <v>187</v>
      </c>
      <c r="AQ12" t="s">
        <v>74</v>
      </c>
      <c r="AR12" t="s">
        <v>74</v>
      </c>
      <c r="AS12" t="s">
        <v>74</v>
      </c>
      <c r="AT12" t="s">
        <v>188</v>
      </c>
      <c r="AU12">
        <v>2025</v>
      </c>
      <c r="AV12">
        <v>20</v>
      </c>
      <c r="AW12">
        <v>3</v>
      </c>
      <c r="AX12" t="s">
        <v>74</v>
      </c>
      <c r="AY12" t="s">
        <v>74</v>
      </c>
      <c r="AZ12" t="s">
        <v>74</v>
      </c>
      <c r="BA12" t="s">
        <v>74</v>
      </c>
      <c r="BB12">
        <v>595</v>
      </c>
      <c r="BC12">
        <v>616</v>
      </c>
      <c r="BD12" t="s">
        <v>74</v>
      </c>
      <c r="BE12" t="s">
        <v>189</v>
      </c>
      <c r="BF12" t="str">
        <f>HYPERLINK("http://dx.doi.org/10.2166/wpt.2025.037","http://dx.doi.org/10.2166/wpt.2025.037")</f>
        <v>http://dx.doi.org/10.2166/wpt.2025.037</v>
      </c>
      <c r="BG12" t="s">
        <v>74</v>
      </c>
      <c r="BH12" t="s">
        <v>74</v>
      </c>
      <c r="BI12" t="s">
        <v>74</v>
      </c>
      <c r="BJ12" t="s">
        <v>74</v>
      </c>
      <c r="BK12" t="s">
        <v>74</v>
      </c>
      <c r="BL12" t="s">
        <v>74</v>
      </c>
      <c r="BM12" t="s">
        <v>74</v>
      </c>
      <c r="BN12" t="s">
        <v>74</v>
      </c>
      <c r="BO12" t="s">
        <v>74</v>
      </c>
      <c r="BP12" t="s">
        <v>74</v>
      </c>
      <c r="BQ12" t="s">
        <v>74</v>
      </c>
      <c r="BR12" t="s">
        <v>74</v>
      </c>
      <c r="BS12" t="s">
        <v>190</v>
      </c>
      <c r="BT12" t="str">
        <f>HYPERLINK("https%3A%2F%2Fwww.webofscience.com%2Fwos%2Fwoscc%2Ffull-record%2FWOS:001456839300003","View Full Record in Web of Science")</f>
        <v>View Full Record in Web of Science</v>
      </c>
    </row>
    <row r="13" spans="1:72" x14ac:dyDescent="0.25">
      <c r="A13" t="s">
        <v>72</v>
      </c>
      <c r="B13" t="s">
        <v>191</v>
      </c>
      <c r="C13" t="s">
        <v>74</v>
      </c>
      <c r="D13" t="s">
        <v>74</v>
      </c>
      <c r="E13" t="s">
        <v>74</v>
      </c>
      <c r="F13" t="s">
        <v>192</v>
      </c>
      <c r="G13" t="s">
        <v>74</v>
      </c>
      <c r="H13" t="s">
        <v>74</v>
      </c>
      <c r="I13" t="s">
        <v>193</v>
      </c>
      <c r="J13" t="s">
        <v>194</v>
      </c>
      <c r="K13" t="s">
        <v>74</v>
      </c>
      <c r="L13" t="s">
        <v>74</v>
      </c>
      <c r="M13" t="s">
        <v>74</v>
      </c>
      <c r="N13" t="s">
        <v>74</v>
      </c>
      <c r="O13" t="s">
        <v>74</v>
      </c>
      <c r="P13" t="s">
        <v>74</v>
      </c>
      <c r="Q13" t="s">
        <v>74</v>
      </c>
      <c r="R13" t="s">
        <v>74</v>
      </c>
      <c r="S13" t="s">
        <v>74</v>
      </c>
      <c r="T13" t="s">
        <v>74</v>
      </c>
      <c r="U13" t="s">
        <v>74</v>
      </c>
      <c r="V13" t="s">
        <v>195</v>
      </c>
      <c r="W13" t="s">
        <v>74</v>
      </c>
      <c r="X13" t="s">
        <v>74</v>
      </c>
      <c r="Y13" t="s">
        <v>74</v>
      </c>
      <c r="Z13" t="s">
        <v>74</v>
      </c>
      <c r="AA13" t="s">
        <v>74</v>
      </c>
      <c r="AB13" t="s">
        <v>74</v>
      </c>
      <c r="AC13" t="s">
        <v>74</v>
      </c>
      <c r="AD13" t="s">
        <v>74</v>
      </c>
      <c r="AE13" t="s">
        <v>74</v>
      </c>
      <c r="AF13" t="s">
        <v>74</v>
      </c>
      <c r="AG13" t="s">
        <v>74</v>
      </c>
      <c r="AH13" t="s">
        <v>74</v>
      </c>
      <c r="AI13" t="s">
        <v>74</v>
      </c>
      <c r="AJ13" t="s">
        <v>74</v>
      </c>
      <c r="AK13" t="s">
        <v>74</v>
      </c>
      <c r="AL13" t="s">
        <v>74</v>
      </c>
      <c r="AM13" t="s">
        <v>74</v>
      </c>
      <c r="AN13" t="s">
        <v>74</v>
      </c>
      <c r="AO13" t="s">
        <v>196</v>
      </c>
      <c r="AP13" t="s">
        <v>74</v>
      </c>
      <c r="AQ13" t="s">
        <v>74</v>
      </c>
      <c r="AR13" t="s">
        <v>74</v>
      </c>
      <c r="AS13" t="s">
        <v>74</v>
      </c>
      <c r="AT13" t="s">
        <v>127</v>
      </c>
      <c r="AU13">
        <v>2025</v>
      </c>
      <c r="AV13">
        <v>29</v>
      </c>
      <c r="AW13" t="s">
        <v>74</v>
      </c>
      <c r="AX13" t="s">
        <v>74</v>
      </c>
      <c r="AY13" t="s">
        <v>74</v>
      </c>
      <c r="AZ13" t="s">
        <v>74</v>
      </c>
      <c r="BA13" t="s">
        <v>74</v>
      </c>
      <c r="BB13" t="s">
        <v>74</v>
      </c>
      <c r="BC13" t="s">
        <v>74</v>
      </c>
      <c r="BD13">
        <v>102023</v>
      </c>
      <c r="BE13" t="s">
        <v>197</v>
      </c>
      <c r="BF13" t="str">
        <f>HYPERLINK("http://dx.doi.org/10.1016/j.biteb.2025.102023","http://dx.doi.org/10.1016/j.biteb.2025.102023")</f>
        <v>http://dx.doi.org/10.1016/j.biteb.2025.102023</v>
      </c>
      <c r="BG13" t="s">
        <v>74</v>
      </c>
      <c r="BH13" t="s">
        <v>198</v>
      </c>
      <c r="BI13" t="s">
        <v>74</v>
      </c>
      <c r="BJ13" t="s">
        <v>74</v>
      </c>
      <c r="BK13" t="s">
        <v>74</v>
      </c>
      <c r="BL13" t="s">
        <v>74</v>
      </c>
      <c r="BM13" t="s">
        <v>74</v>
      </c>
      <c r="BN13" t="s">
        <v>74</v>
      </c>
      <c r="BO13" t="s">
        <v>74</v>
      </c>
      <c r="BP13" t="s">
        <v>74</v>
      </c>
      <c r="BQ13" t="s">
        <v>74</v>
      </c>
      <c r="BR13" t="s">
        <v>74</v>
      </c>
      <c r="BS13" t="s">
        <v>199</v>
      </c>
      <c r="BT13" t="str">
        <f>HYPERLINK("https%3A%2F%2Fwww.webofscience.com%2Fwos%2Fwoscc%2Ffull-record%2FWOS:001399176400001","View Full Record in Web of Science")</f>
        <v>View Full Record in Web of Science</v>
      </c>
    </row>
    <row r="14" spans="1:72" x14ac:dyDescent="0.25">
      <c r="A14" t="s">
        <v>72</v>
      </c>
      <c r="B14" t="s">
        <v>200</v>
      </c>
      <c r="C14" t="s">
        <v>74</v>
      </c>
      <c r="D14" t="s">
        <v>74</v>
      </c>
      <c r="E14" t="s">
        <v>74</v>
      </c>
      <c r="F14" t="s">
        <v>201</v>
      </c>
      <c r="G14" t="s">
        <v>74</v>
      </c>
      <c r="H14" t="s">
        <v>74</v>
      </c>
      <c r="I14" t="s">
        <v>202</v>
      </c>
      <c r="J14" t="s">
        <v>203</v>
      </c>
      <c r="K14" t="s">
        <v>74</v>
      </c>
      <c r="L14" t="s">
        <v>74</v>
      </c>
      <c r="M14" t="s">
        <v>74</v>
      </c>
      <c r="N14" t="s">
        <v>74</v>
      </c>
      <c r="O14" t="s">
        <v>74</v>
      </c>
      <c r="P14" t="s">
        <v>74</v>
      </c>
      <c r="Q14" t="s">
        <v>74</v>
      </c>
      <c r="R14" t="s">
        <v>74</v>
      </c>
      <c r="S14" t="s">
        <v>74</v>
      </c>
      <c r="T14" t="s">
        <v>74</v>
      </c>
      <c r="U14" t="s">
        <v>74</v>
      </c>
      <c r="V14" t="s">
        <v>204</v>
      </c>
      <c r="W14" t="s">
        <v>74</v>
      </c>
      <c r="X14" t="s">
        <v>74</v>
      </c>
      <c r="Y14" t="s">
        <v>74</v>
      </c>
      <c r="Z14" t="s">
        <v>74</v>
      </c>
      <c r="AA14" t="s">
        <v>74</v>
      </c>
      <c r="AB14" t="s">
        <v>74</v>
      </c>
      <c r="AC14" t="s">
        <v>74</v>
      </c>
      <c r="AD14" t="s">
        <v>74</v>
      </c>
      <c r="AE14" t="s">
        <v>74</v>
      </c>
      <c r="AF14" t="s">
        <v>74</v>
      </c>
      <c r="AG14" t="s">
        <v>74</v>
      </c>
      <c r="AH14" t="s">
        <v>74</v>
      </c>
      <c r="AI14" t="s">
        <v>74</v>
      </c>
      <c r="AJ14" t="s">
        <v>74</v>
      </c>
      <c r="AK14" t="s">
        <v>74</v>
      </c>
      <c r="AL14" t="s">
        <v>74</v>
      </c>
      <c r="AM14" t="s">
        <v>74</v>
      </c>
      <c r="AN14" t="s">
        <v>74</v>
      </c>
      <c r="AO14" t="s">
        <v>74</v>
      </c>
      <c r="AP14" t="s">
        <v>205</v>
      </c>
      <c r="AQ14" t="s">
        <v>74</v>
      </c>
      <c r="AR14" t="s">
        <v>74</v>
      </c>
      <c r="AS14" t="s">
        <v>74</v>
      </c>
      <c r="AT14" t="s">
        <v>206</v>
      </c>
      <c r="AU14">
        <v>2025</v>
      </c>
      <c r="AV14">
        <v>16</v>
      </c>
      <c r="AW14" t="s">
        <v>74</v>
      </c>
      <c r="AX14" t="s">
        <v>74</v>
      </c>
      <c r="AY14" t="s">
        <v>74</v>
      </c>
      <c r="AZ14" t="s">
        <v>74</v>
      </c>
      <c r="BA14" t="s">
        <v>74</v>
      </c>
      <c r="BB14" t="s">
        <v>74</v>
      </c>
      <c r="BC14" t="s">
        <v>74</v>
      </c>
      <c r="BD14">
        <v>1552355</v>
      </c>
      <c r="BE14" t="s">
        <v>207</v>
      </c>
      <c r="BF14" t="str">
        <f>HYPERLINK("http://dx.doi.org/10.3389/fphar.2025.1552355","http://dx.doi.org/10.3389/fphar.2025.1552355")</f>
        <v>http://dx.doi.org/10.3389/fphar.2025.1552355</v>
      </c>
      <c r="BG14" t="s">
        <v>74</v>
      </c>
      <c r="BH14" t="s">
        <v>74</v>
      </c>
      <c r="BI14" t="s">
        <v>74</v>
      </c>
      <c r="BJ14" t="s">
        <v>74</v>
      </c>
      <c r="BK14" t="s">
        <v>74</v>
      </c>
      <c r="BL14" t="s">
        <v>74</v>
      </c>
      <c r="BM14" t="s">
        <v>74</v>
      </c>
      <c r="BN14">
        <v>40041496</v>
      </c>
      <c r="BO14" t="s">
        <v>74</v>
      </c>
      <c r="BP14" t="s">
        <v>74</v>
      </c>
      <c r="BQ14" t="s">
        <v>74</v>
      </c>
      <c r="BR14" t="s">
        <v>74</v>
      </c>
      <c r="BS14" t="s">
        <v>208</v>
      </c>
      <c r="BT14" t="str">
        <f>HYPERLINK("https%3A%2F%2Fwww.webofscience.com%2Fwos%2Fwoscc%2Ffull-record%2FWOS:001435859100001","View Full Record in Web of Science")</f>
        <v>View Full Record in Web of Science</v>
      </c>
    </row>
    <row r="15" spans="1:72" x14ac:dyDescent="0.25">
      <c r="A15" t="s">
        <v>72</v>
      </c>
      <c r="B15" t="s">
        <v>209</v>
      </c>
      <c r="C15" t="s">
        <v>74</v>
      </c>
      <c r="D15" t="s">
        <v>74</v>
      </c>
      <c r="E15" t="s">
        <v>74</v>
      </c>
      <c r="F15" t="s">
        <v>210</v>
      </c>
      <c r="G15" t="s">
        <v>74</v>
      </c>
      <c r="H15" t="s">
        <v>74</v>
      </c>
      <c r="I15" t="s">
        <v>211</v>
      </c>
      <c r="J15" t="s">
        <v>212</v>
      </c>
      <c r="K15" t="s">
        <v>74</v>
      </c>
      <c r="L15" t="s">
        <v>74</v>
      </c>
      <c r="M15" t="s">
        <v>74</v>
      </c>
      <c r="N15" t="s">
        <v>74</v>
      </c>
      <c r="O15" t="s">
        <v>74</v>
      </c>
      <c r="P15" t="s">
        <v>74</v>
      </c>
      <c r="Q15" t="s">
        <v>74</v>
      </c>
      <c r="R15" t="s">
        <v>74</v>
      </c>
      <c r="S15" t="s">
        <v>74</v>
      </c>
      <c r="T15" t="s">
        <v>74</v>
      </c>
      <c r="U15" t="s">
        <v>74</v>
      </c>
      <c r="V15" t="s">
        <v>213</v>
      </c>
      <c r="W15" t="s">
        <v>74</v>
      </c>
      <c r="X15" t="s">
        <v>74</v>
      </c>
      <c r="Y15" t="s">
        <v>74</v>
      </c>
      <c r="Z15" t="s">
        <v>74</v>
      </c>
      <c r="AA15" t="s">
        <v>214</v>
      </c>
      <c r="AB15" t="s">
        <v>74</v>
      </c>
      <c r="AC15" t="s">
        <v>74</v>
      </c>
      <c r="AD15" t="s">
        <v>74</v>
      </c>
      <c r="AE15" t="s">
        <v>74</v>
      </c>
      <c r="AF15" t="s">
        <v>74</v>
      </c>
      <c r="AG15" t="s">
        <v>74</v>
      </c>
      <c r="AH15" t="s">
        <v>74</v>
      </c>
      <c r="AI15" t="s">
        <v>74</v>
      </c>
      <c r="AJ15" t="s">
        <v>74</v>
      </c>
      <c r="AK15" t="s">
        <v>74</v>
      </c>
      <c r="AL15" t="s">
        <v>74</v>
      </c>
      <c r="AM15" t="s">
        <v>74</v>
      </c>
      <c r="AN15" t="s">
        <v>74</v>
      </c>
      <c r="AO15" t="s">
        <v>215</v>
      </c>
      <c r="AP15" t="s">
        <v>216</v>
      </c>
      <c r="AQ15" t="s">
        <v>74</v>
      </c>
      <c r="AR15" t="s">
        <v>74</v>
      </c>
      <c r="AS15" t="s">
        <v>74</v>
      </c>
      <c r="AT15" t="s">
        <v>217</v>
      </c>
      <c r="AU15">
        <v>2025</v>
      </c>
      <c r="AV15">
        <v>41</v>
      </c>
      <c r="AW15">
        <v>4</v>
      </c>
      <c r="AX15" t="s">
        <v>74</v>
      </c>
      <c r="AY15" t="s">
        <v>74</v>
      </c>
      <c r="AZ15" t="s">
        <v>74</v>
      </c>
      <c r="BA15" t="s">
        <v>74</v>
      </c>
      <c r="BB15" t="s">
        <v>74</v>
      </c>
      <c r="BC15" t="s">
        <v>74</v>
      </c>
      <c r="BD15">
        <v>135</v>
      </c>
      <c r="BE15" t="s">
        <v>218</v>
      </c>
      <c r="BF15" t="str">
        <f>HYPERLINK("http://dx.doi.org/10.1007/s11274-025-04351-5","http://dx.doi.org/10.1007/s11274-025-04351-5")</f>
        <v>http://dx.doi.org/10.1007/s11274-025-04351-5</v>
      </c>
      <c r="BG15" t="s">
        <v>74</v>
      </c>
      <c r="BH15" t="s">
        <v>74</v>
      </c>
      <c r="BI15" t="s">
        <v>74</v>
      </c>
      <c r="BJ15" t="s">
        <v>74</v>
      </c>
      <c r="BK15" t="s">
        <v>74</v>
      </c>
      <c r="BL15" t="s">
        <v>74</v>
      </c>
      <c r="BM15" t="s">
        <v>74</v>
      </c>
      <c r="BN15">
        <v>40232538</v>
      </c>
      <c r="BO15" t="s">
        <v>74</v>
      </c>
      <c r="BP15" t="s">
        <v>74</v>
      </c>
      <c r="BQ15" t="s">
        <v>74</v>
      </c>
      <c r="BR15" t="s">
        <v>74</v>
      </c>
      <c r="BS15" t="s">
        <v>219</v>
      </c>
      <c r="BT15" t="str">
        <f>HYPERLINK("https%3A%2F%2Fwww.webofscience.com%2Fwos%2Fwoscc%2Ffull-record%2FWOS:001468333500001","View Full Record in Web of Science")</f>
        <v>View Full Record in Web of Science</v>
      </c>
    </row>
    <row r="16" spans="1:72" x14ac:dyDescent="0.25">
      <c r="A16" t="s">
        <v>72</v>
      </c>
      <c r="B16" t="s">
        <v>220</v>
      </c>
      <c r="C16" t="s">
        <v>74</v>
      </c>
      <c r="D16" t="s">
        <v>74</v>
      </c>
      <c r="E16" t="s">
        <v>74</v>
      </c>
      <c r="F16" t="s">
        <v>221</v>
      </c>
      <c r="G16" t="s">
        <v>74</v>
      </c>
      <c r="H16" t="s">
        <v>74</v>
      </c>
      <c r="I16" t="s">
        <v>222</v>
      </c>
      <c r="J16" t="s">
        <v>223</v>
      </c>
      <c r="K16" t="s">
        <v>74</v>
      </c>
      <c r="L16" t="s">
        <v>74</v>
      </c>
      <c r="M16" t="s">
        <v>74</v>
      </c>
      <c r="N16" t="s">
        <v>74</v>
      </c>
      <c r="O16" t="s">
        <v>74</v>
      </c>
      <c r="P16" t="s">
        <v>74</v>
      </c>
      <c r="Q16" t="s">
        <v>74</v>
      </c>
      <c r="R16" t="s">
        <v>74</v>
      </c>
      <c r="S16" t="s">
        <v>74</v>
      </c>
      <c r="T16" t="s">
        <v>74</v>
      </c>
      <c r="U16" t="s">
        <v>74</v>
      </c>
      <c r="V16" t="s">
        <v>224</v>
      </c>
      <c r="W16" t="s">
        <v>74</v>
      </c>
      <c r="X16" t="s">
        <v>74</v>
      </c>
      <c r="Y16" t="s">
        <v>74</v>
      </c>
      <c r="Z16" t="s">
        <v>74</v>
      </c>
      <c r="AA16" t="s">
        <v>225</v>
      </c>
      <c r="AB16" t="s">
        <v>226</v>
      </c>
      <c r="AC16" t="s">
        <v>74</v>
      </c>
      <c r="AD16" t="s">
        <v>74</v>
      </c>
      <c r="AE16" t="s">
        <v>74</v>
      </c>
      <c r="AF16" t="s">
        <v>74</v>
      </c>
      <c r="AG16" t="s">
        <v>74</v>
      </c>
      <c r="AH16" t="s">
        <v>74</v>
      </c>
      <c r="AI16" t="s">
        <v>74</v>
      </c>
      <c r="AJ16" t="s">
        <v>74</v>
      </c>
      <c r="AK16" t="s">
        <v>74</v>
      </c>
      <c r="AL16" t="s">
        <v>74</v>
      </c>
      <c r="AM16" t="s">
        <v>74</v>
      </c>
      <c r="AN16" t="s">
        <v>74</v>
      </c>
      <c r="AO16" t="s">
        <v>227</v>
      </c>
      <c r="AP16" t="s">
        <v>228</v>
      </c>
      <c r="AQ16" t="s">
        <v>74</v>
      </c>
      <c r="AR16" t="s">
        <v>74</v>
      </c>
      <c r="AS16" t="s">
        <v>74</v>
      </c>
      <c r="AT16" t="s">
        <v>229</v>
      </c>
      <c r="AU16">
        <v>2025</v>
      </c>
      <c r="AV16">
        <v>321</v>
      </c>
      <c r="AW16" t="s">
        <v>74</v>
      </c>
      <c r="AX16">
        <v>1</v>
      </c>
      <c r="AY16" t="s">
        <v>74</v>
      </c>
      <c r="AZ16" t="s">
        <v>74</v>
      </c>
      <c r="BA16" t="s">
        <v>74</v>
      </c>
      <c r="BB16" t="s">
        <v>74</v>
      </c>
      <c r="BC16" t="s">
        <v>74</v>
      </c>
      <c r="BD16">
        <v>146138</v>
      </c>
      <c r="BE16" t="s">
        <v>230</v>
      </c>
      <c r="BF16" t="str">
        <f>HYPERLINK("http://dx.doi.org/10.1016/j.ijbiomac.2025.146138","http://dx.doi.org/10.1016/j.ijbiomac.2025.146138")</f>
        <v>http://dx.doi.org/10.1016/j.ijbiomac.2025.146138</v>
      </c>
      <c r="BG16" t="s">
        <v>74</v>
      </c>
      <c r="BH16" t="s">
        <v>231</v>
      </c>
      <c r="BI16" t="s">
        <v>74</v>
      </c>
      <c r="BJ16" t="s">
        <v>74</v>
      </c>
      <c r="BK16" t="s">
        <v>74</v>
      </c>
      <c r="BL16" t="s">
        <v>74</v>
      </c>
      <c r="BM16" t="s">
        <v>74</v>
      </c>
      <c r="BN16">
        <v>40685035</v>
      </c>
      <c r="BO16" t="s">
        <v>74</v>
      </c>
      <c r="BP16" t="s">
        <v>74</v>
      </c>
      <c r="BQ16" t="s">
        <v>74</v>
      </c>
      <c r="BR16" t="s">
        <v>74</v>
      </c>
      <c r="BS16" t="s">
        <v>232</v>
      </c>
      <c r="BT16" t="str">
        <f>HYPERLINK("https%3A%2F%2Fwww.webofscience.com%2Fwos%2Fwoscc%2Ffull-record%2FWOS:001544318600001","View Full Record in Web of Science")</f>
        <v>View Full Record in Web of Science</v>
      </c>
    </row>
    <row r="17" spans="1:72" x14ac:dyDescent="0.25">
      <c r="A17" t="s">
        <v>72</v>
      </c>
      <c r="B17" t="s">
        <v>233</v>
      </c>
      <c r="C17" t="s">
        <v>74</v>
      </c>
      <c r="D17" t="s">
        <v>74</v>
      </c>
      <c r="E17" t="s">
        <v>74</v>
      </c>
      <c r="F17" t="s">
        <v>234</v>
      </c>
      <c r="G17" t="s">
        <v>74</v>
      </c>
      <c r="H17" t="s">
        <v>74</v>
      </c>
      <c r="I17" t="s">
        <v>235</v>
      </c>
      <c r="J17" t="s">
        <v>236</v>
      </c>
      <c r="K17" t="s">
        <v>74</v>
      </c>
      <c r="L17" t="s">
        <v>74</v>
      </c>
      <c r="M17" t="s">
        <v>74</v>
      </c>
      <c r="N17" t="s">
        <v>74</v>
      </c>
      <c r="O17" t="s">
        <v>74</v>
      </c>
      <c r="P17" t="s">
        <v>74</v>
      </c>
      <c r="Q17" t="s">
        <v>74</v>
      </c>
      <c r="R17" t="s">
        <v>74</v>
      </c>
      <c r="S17" t="s">
        <v>74</v>
      </c>
      <c r="T17" t="s">
        <v>74</v>
      </c>
      <c r="U17" t="s">
        <v>74</v>
      </c>
      <c r="V17" t="s">
        <v>237</v>
      </c>
      <c r="W17" t="s">
        <v>74</v>
      </c>
      <c r="X17" t="s">
        <v>74</v>
      </c>
      <c r="Y17" t="s">
        <v>74</v>
      </c>
      <c r="Z17" t="s">
        <v>74</v>
      </c>
      <c r="AA17" t="s">
        <v>238</v>
      </c>
      <c r="AB17" t="s">
        <v>239</v>
      </c>
      <c r="AC17" t="s">
        <v>74</v>
      </c>
      <c r="AD17" t="s">
        <v>74</v>
      </c>
      <c r="AE17" t="s">
        <v>74</v>
      </c>
      <c r="AF17" t="s">
        <v>74</v>
      </c>
      <c r="AG17" t="s">
        <v>74</v>
      </c>
      <c r="AH17" t="s">
        <v>74</v>
      </c>
      <c r="AI17" t="s">
        <v>74</v>
      </c>
      <c r="AJ17" t="s">
        <v>74</v>
      </c>
      <c r="AK17" t="s">
        <v>74</v>
      </c>
      <c r="AL17" t="s">
        <v>74</v>
      </c>
      <c r="AM17" t="s">
        <v>74</v>
      </c>
      <c r="AN17" t="s">
        <v>74</v>
      </c>
      <c r="AO17" t="s">
        <v>74</v>
      </c>
      <c r="AP17" t="s">
        <v>240</v>
      </c>
      <c r="AQ17" t="s">
        <v>74</v>
      </c>
      <c r="AR17" t="s">
        <v>74</v>
      </c>
      <c r="AS17" t="s">
        <v>74</v>
      </c>
      <c r="AT17" t="s">
        <v>241</v>
      </c>
      <c r="AU17">
        <v>2025</v>
      </c>
      <c r="AV17">
        <v>12</v>
      </c>
      <c r="AW17">
        <v>1</v>
      </c>
      <c r="AX17" t="s">
        <v>74</v>
      </c>
      <c r="AY17" t="s">
        <v>74</v>
      </c>
      <c r="AZ17" t="s">
        <v>74</v>
      </c>
      <c r="BA17" t="s">
        <v>74</v>
      </c>
      <c r="BB17" t="s">
        <v>74</v>
      </c>
      <c r="BC17" t="s">
        <v>74</v>
      </c>
      <c r="BD17">
        <v>50</v>
      </c>
      <c r="BE17" t="s">
        <v>242</v>
      </c>
      <c r="BF17" t="str">
        <f>HYPERLINK("http://dx.doi.org/10.1186/s40643-025-00895-4","http://dx.doi.org/10.1186/s40643-025-00895-4")</f>
        <v>http://dx.doi.org/10.1186/s40643-025-00895-4</v>
      </c>
      <c r="BG17" t="s">
        <v>74</v>
      </c>
      <c r="BH17" t="s">
        <v>74</v>
      </c>
      <c r="BI17" t="s">
        <v>74</v>
      </c>
      <c r="BJ17" t="s">
        <v>74</v>
      </c>
      <c r="BK17" t="s">
        <v>74</v>
      </c>
      <c r="BL17" t="s">
        <v>74</v>
      </c>
      <c r="BM17" t="s">
        <v>74</v>
      </c>
      <c r="BN17">
        <v>40451948</v>
      </c>
      <c r="BO17" t="s">
        <v>74</v>
      </c>
      <c r="BP17" t="s">
        <v>74</v>
      </c>
      <c r="BQ17" t="s">
        <v>74</v>
      </c>
      <c r="BR17" t="s">
        <v>74</v>
      </c>
      <c r="BS17" t="s">
        <v>243</v>
      </c>
      <c r="BT17" t="str">
        <f>HYPERLINK("https%3A%2F%2Fwww.webofscience.com%2Fwos%2Fwoscc%2Ffull-record%2FWOS:001499531300001","View Full Record in Web of Science")</f>
        <v>View Full Record in Web of Science</v>
      </c>
    </row>
    <row r="18" spans="1:72" x14ac:dyDescent="0.25">
      <c r="A18" t="s">
        <v>72</v>
      </c>
      <c r="B18" t="s">
        <v>244</v>
      </c>
      <c r="C18" t="s">
        <v>74</v>
      </c>
      <c r="D18" t="s">
        <v>74</v>
      </c>
      <c r="E18" t="s">
        <v>74</v>
      </c>
      <c r="F18" t="s">
        <v>245</v>
      </c>
      <c r="G18" t="s">
        <v>74</v>
      </c>
      <c r="H18" t="s">
        <v>74</v>
      </c>
      <c r="I18" t="s">
        <v>246</v>
      </c>
      <c r="J18" t="s">
        <v>247</v>
      </c>
      <c r="K18" t="s">
        <v>74</v>
      </c>
      <c r="L18" t="s">
        <v>74</v>
      </c>
      <c r="M18" t="s">
        <v>74</v>
      </c>
      <c r="N18" t="s">
        <v>74</v>
      </c>
      <c r="O18" t="s">
        <v>74</v>
      </c>
      <c r="P18" t="s">
        <v>74</v>
      </c>
      <c r="Q18" t="s">
        <v>74</v>
      </c>
      <c r="R18" t="s">
        <v>74</v>
      </c>
      <c r="S18" t="s">
        <v>74</v>
      </c>
      <c r="T18" t="s">
        <v>74</v>
      </c>
      <c r="U18" t="s">
        <v>74</v>
      </c>
      <c r="V18" t="s">
        <v>248</v>
      </c>
      <c r="W18" t="s">
        <v>74</v>
      </c>
      <c r="X18" t="s">
        <v>74</v>
      </c>
      <c r="Y18" t="s">
        <v>74</v>
      </c>
      <c r="Z18" t="s">
        <v>74</v>
      </c>
      <c r="AA18" t="s">
        <v>74</v>
      </c>
      <c r="AB18" t="s">
        <v>74</v>
      </c>
      <c r="AC18" t="s">
        <v>74</v>
      </c>
      <c r="AD18" t="s">
        <v>74</v>
      </c>
      <c r="AE18" t="s">
        <v>74</v>
      </c>
      <c r="AF18" t="s">
        <v>74</v>
      </c>
      <c r="AG18" t="s">
        <v>74</v>
      </c>
      <c r="AH18" t="s">
        <v>74</v>
      </c>
      <c r="AI18" t="s">
        <v>74</v>
      </c>
      <c r="AJ18" t="s">
        <v>74</v>
      </c>
      <c r="AK18" t="s">
        <v>74</v>
      </c>
      <c r="AL18" t="s">
        <v>74</v>
      </c>
      <c r="AM18" t="s">
        <v>74</v>
      </c>
      <c r="AN18" t="s">
        <v>74</v>
      </c>
      <c r="AO18" t="s">
        <v>249</v>
      </c>
      <c r="AP18" t="s">
        <v>250</v>
      </c>
      <c r="AQ18" t="s">
        <v>74</v>
      </c>
      <c r="AR18" t="s">
        <v>74</v>
      </c>
      <c r="AS18" t="s">
        <v>74</v>
      </c>
      <c r="AT18" t="s">
        <v>251</v>
      </c>
      <c r="AU18">
        <v>2025</v>
      </c>
      <c r="AV18">
        <v>519</v>
      </c>
      <c r="AW18" t="s">
        <v>74</v>
      </c>
      <c r="AX18" t="s">
        <v>74</v>
      </c>
      <c r="AY18" t="s">
        <v>74</v>
      </c>
      <c r="AZ18" t="s">
        <v>74</v>
      </c>
      <c r="BA18" t="s">
        <v>74</v>
      </c>
      <c r="BB18" t="s">
        <v>74</v>
      </c>
      <c r="BC18" t="s">
        <v>74</v>
      </c>
      <c r="BD18">
        <v>165451</v>
      </c>
      <c r="BE18" t="s">
        <v>252</v>
      </c>
      <c r="BF18" t="str">
        <f>HYPERLINK("http://dx.doi.org/10.1016/j.cej.2025.165451","http://dx.doi.org/10.1016/j.cej.2025.165451")</f>
        <v>http://dx.doi.org/10.1016/j.cej.2025.165451</v>
      </c>
      <c r="BG18" t="s">
        <v>74</v>
      </c>
      <c r="BH18" t="s">
        <v>74</v>
      </c>
      <c r="BI18" t="s">
        <v>74</v>
      </c>
      <c r="BJ18" t="s">
        <v>74</v>
      </c>
      <c r="BK18" t="s">
        <v>74</v>
      </c>
      <c r="BL18" t="s">
        <v>74</v>
      </c>
      <c r="BM18" t="s">
        <v>74</v>
      </c>
      <c r="BN18" t="s">
        <v>74</v>
      </c>
      <c r="BO18" t="s">
        <v>74</v>
      </c>
      <c r="BP18" t="s">
        <v>74</v>
      </c>
      <c r="BQ18" t="s">
        <v>74</v>
      </c>
      <c r="BR18" t="s">
        <v>74</v>
      </c>
      <c r="BS18" t="s">
        <v>253</v>
      </c>
      <c r="BT18" t="str">
        <f>HYPERLINK("https%3A%2F%2Fwww.webofscience.com%2Fwos%2Fwoscc%2Ffull-record%2FWOS:001525706800003","View Full Record in Web of Science")</f>
        <v>View Full Record in Web of Science</v>
      </c>
    </row>
    <row r="19" spans="1:72" x14ac:dyDescent="0.25">
      <c r="A19" t="s">
        <v>72</v>
      </c>
      <c r="B19" t="s">
        <v>254</v>
      </c>
      <c r="C19" t="s">
        <v>74</v>
      </c>
      <c r="D19" t="s">
        <v>74</v>
      </c>
      <c r="E19" t="s">
        <v>74</v>
      </c>
      <c r="F19" t="s">
        <v>255</v>
      </c>
      <c r="G19" t="s">
        <v>74</v>
      </c>
      <c r="H19" t="s">
        <v>74</v>
      </c>
      <c r="I19" t="s">
        <v>256</v>
      </c>
      <c r="J19" t="s">
        <v>257</v>
      </c>
      <c r="K19" t="s">
        <v>74</v>
      </c>
      <c r="L19" t="s">
        <v>74</v>
      </c>
      <c r="M19" t="s">
        <v>74</v>
      </c>
      <c r="N19" t="s">
        <v>74</v>
      </c>
      <c r="O19" t="s">
        <v>74</v>
      </c>
      <c r="P19" t="s">
        <v>74</v>
      </c>
      <c r="Q19" t="s">
        <v>74</v>
      </c>
      <c r="R19" t="s">
        <v>74</v>
      </c>
      <c r="S19" t="s">
        <v>74</v>
      </c>
      <c r="T19" t="s">
        <v>74</v>
      </c>
      <c r="U19" t="s">
        <v>74</v>
      </c>
      <c r="V19" t="s">
        <v>258</v>
      </c>
      <c r="W19" t="s">
        <v>74</v>
      </c>
      <c r="X19" t="s">
        <v>74</v>
      </c>
      <c r="Y19" t="s">
        <v>74</v>
      </c>
      <c r="Z19" t="s">
        <v>74</v>
      </c>
      <c r="AA19" t="s">
        <v>259</v>
      </c>
      <c r="AB19" t="s">
        <v>260</v>
      </c>
      <c r="AC19" t="s">
        <v>74</v>
      </c>
      <c r="AD19" t="s">
        <v>74</v>
      </c>
      <c r="AE19" t="s">
        <v>74</v>
      </c>
      <c r="AF19" t="s">
        <v>74</v>
      </c>
      <c r="AG19" t="s">
        <v>74</v>
      </c>
      <c r="AH19" t="s">
        <v>74</v>
      </c>
      <c r="AI19" t="s">
        <v>74</v>
      </c>
      <c r="AJ19" t="s">
        <v>74</v>
      </c>
      <c r="AK19" t="s">
        <v>74</v>
      </c>
      <c r="AL19" t="s">
        <v>74</v>
      </c>
      <c r="AM19" t="s">
        <v>74</v>
      </c>
      <c r="AN19" t="s">
        <v>74</v>
      </c>
      <c r="AO19" t="s">
        <v>74</v>
      </c>
      <c r="AP19" t="s">
        <v>261</v>
      </c>
      <c r="AQ19" t="s">
        <v>74</v>
      </c>
      <c r="AR19" t="s">
        <v>74</v>
      </c>
      <c r="AS19" t="s">
        <v>74</v>
      </c>
      <c r="AT19" t="s">
        <v>262</v>
      </c>
      <c r="AU19">
        <v>2025</v>
      </c>
      <c r="AV19">
        <v>30</v>
      </c>
      <c r="AW19">
        <v>7</v>
      </c>
      <c r="AX19" t="s">
        <v>74</v>
      </c>
      <c r="AY19" t="s">
        <v>74</v>
      </c>
      <c r="AZ19" t="s">
        <v>74</v>
      </c>
      <c r="BA19" t="s">
        <v>74</v>
      </c>
      <c r="BB19" t="s">
        <v>74</v>
      </c>
      <c r="BC19" t="s">
        <v>74</v>
      </c>
      <c r="BD19">
        <v>1506</v>
      </c>
      <c r="BE19" t="s">
        <v>263</v>
      </c>
      <c r="BF19" t="str">
        <f>HYPERLINK("http://dx.doi.org/10.3390/molecules30071506","http://dx.doi.org/10.3390/molecules30071506")</f>
        <v>http://dx.doi.org/10.3390/molecules30071506</v>
      </c>
      <c r="BG19" t="s">
        <v>74</v>
      </c>
      <c r="BH19" t="s">
        <v>74</v>
      </c>
      <c r="BI19" t="s">
        <v>74</v>
      </c>
      <c r="BJ19" t="s">
        <v>74</v>
      </c>
      <c r="BK19" t="s">
        <v>74</v>
      </c>
      <c r="BL19" t="s">
        <v>74</v>
      </c>
      <c r="BM19" t="s">
        <v>74</v>
      </c>
      <c r="BN19">
        <v>40286115</v>
      </c>
      <c r="BO19" t="s">
        <v>74</v>
      </c>
      <c r="BP19" t="s">
        <v>74</v>
      </c>
      <c r="BQ19" t="s">
        <v>74</v>
      </c>
      <c r="BR19" t="s">
        <v>74</v>
      </c>
      <c r="BS19" t="s">
        <v>264</v>
      </c>
      <c r="BT19" t="str">
        <f>HYPERLINK("https%3A%2F%2Fwww.webofscience.com%2Fwos%2Fwoscc%2Ffull-record%2FWOS:001463947300001","View Full Record in Web of Science")</f>
        <v>View Full Record in Web of Science</v>
      </c>
    </row>
    <row r="20" spans="1:72" x14ac:dyDescent="0.25">
      <c r="A20" t="s">
        <v>72</v>
      </c>
      <c r="B20" t="s">
        <v>265</v>
      </c>
      <c r="C20" t="s">
        <v>74</v>
      </c>
      <c r="D20" t="s">
        <v>74</v>
      </c>
      <c r="E20" t="s">
        <v>74</v>
      </c>
      <c r="F20" t="s">
        <v>266</v>
      </c>
      <c r="G20" t="s">
        <v>74</v>
      </c>
      <c r="H20" t="s">
        <v>74</v>
      </c>
      <c r="I20" t="s">
        <v>267</v>
      </c>
      <c r="J20" t="s">
        <v>223</v>
      </c>
      <c r="K20" t="s">
        <v>74</v>
      </c>
      <c r="L20" t="s">
        <v>74</v>
      </c>
      <c r="M20" t="s">
        <v>74</v>
      </c>
      <c r="N20" t="s">
        <v>74</v>
      </c>
      <c r="O20" t="s">
        <v>74</v>
      </c>
      <c r="P20" t="s">
        <v>74</v>
      </c>
      <c r="Q20" t="s">
        <v>74</v>
      </c>
      <c r="R20" t="s">
        <v>74</v>
      </c>
      <c r="S20" t="s">
        <v>74</v>
      </c>
      <c r="T20" t="s">
        <v>74</v>
      </c>
      <c r="U20" t="s">
        <v>74</v>
      </c>
      <c r="V20" t="s">
        <v>268</v>
      </c>
      <c r="W20" t="s">
        <v>74</v>
      </c>
      <c r="X20" t="s">
        <v>74</v>
      </c>
      <c r="Y20" t="s">
        <v>74</v>
      </c>
      <c r="Z20" t="s">
        <v>74</v>
      </c>
      <c r="AA20" t="s">
        <v>269</v>
      </c>
      <c r="AB20" t="s">
        <v>74</v>
      </c>
      <c r="AC20" t="s">
        <v>74</v>
      </c>
      <c r="AD20" t="s">
        <v>74</v>
      </c>
      <c r="AE20" t="s">
        <v>74</v>
      </c>
      <c r="AF20" t="s">
        <v>74</v>
      </c>
      <c r="AG20" t="s">
        <v>74</v>
      </c>
      <c r="AH20" t="s">
        <v>74</v>
      </c>
      <c r="AI20" t="s">
        <v>74</v>
      </c>
      <c r="AJ20" t="s">
        <v>74</v>
      </c>
      <c r="AK20" t="s">
        <v>74</v>
      </c>
      <c r="AL20" t="s">
        <v>74</v>
      </c>
      <c r="AM20" t="s">
        <v>74</v>
      </c>
      <c r="AN20" t="s">
        <v>74</v>
      </c>
      <c r="AO20" t="s">
        <v>227</v>
      </c>
      <c r="AP20" t="s">
        <v>228</v>
      </c>
      <c r="AQ20" t="s">
        <v>74</v>
      </c>
      <c r="AR20" t="s">
        <v>74</v>
      </c>
      <c r="AS20" t="s">
        <v>74</v>
      </c>
      <c r="AT20" t="s">
        <v>105</v>
      </c>
      <c r="AU20">
        <v>2025</v>
      </c>
      <c r="AV20">
        <v>306</v>
      </c>
      <c r="AW20" t="s">
        <v>74</v>
      </c>
      <c r="AX20">
        <v>4</v>
      </c>
      <c r="AY20" t="s">
        <v>74</v>
      </c>
      <c r="AZ20" t="s">
        <v>74</v>
      </c>
      <c r="BA20" t="s">
        <v>74</v>
      </c>
      <c r="BB20" t="s">
        <v>74</v>
      </c>
      <c r="BC20" t="s">
        <v>74</v>
      </c>
      <c r="BD20">
        <v>141744</v>
      </c>
      <c r="BE20" t="s">
        <v>270</v>
      </c>
      <c r="BF20" t="str">
        <f>HYPERLINK("http://dx.doi.org/10.1016/j.ijbiomac.2025.141744","http://dx.doi.org/10.1016/j.ijbiomac.2025.141744")</f>
        <v>http://dx.doi.org/10.1016/j.ijbiomac.2025.141744</v>
      </c>
      <c r="BG20" t="s">
        <v>74</v>
      </c>
      <c r="BH20" t="s">
        <v>85</v>
      </c>
      <c r="BI20" t="s">
        <v>74</v>
      </c>
      <c r="BJ20" t="s">
        <v>74</v>
      </c>
      <c r="BK20" t="s">
        <v>74</v>
      </c>
      <c r="BL20" t="s">
        <v>74</v>
      </c>
      <c r="BM20" t="s">
        <v>74</v>
      </c>
      <c r="BN20">
        <v>40049478</v>
      </c>
      <c r="BO20" t="s">
        <v>74</v>
      </c>
      <c r="BP20" t="s">
        <v>74</v>
      </c>
      <c r="BQ20" t="s">
        <v>74</v>
      </c>
      <c r="BR20" t="s">
        <v>74</v>
      </c>
      <c r="BS20" t="s">
        <v>271</v>
      </c>
      <c r="BT20" t="str">
        <f>HYPERLINK("https%3A%2F%2Fwww.webofscience.com%2Fwos%2Fwoscc%2Ffull-record%2FWOS:001441716700001","View Full Record in Web of Science")</f>
        <v>View Full Record in Web of Science</v>
      </c>
    </row>
    <row r="21" spans="1:72" x14ac:dyDescent="0.25">
      <c r="A21" t="s">
        <v>72</v>
      </c>
      <c r="B21" t="s">
        <v>272</v>
      </c>
      <c r="C21" t="s">
        <v>74</v>
      </c>
      <c r="D21" t="s">
        <v>74</v>
      </c>
      <c r="E21" t="s">
        <v>74</v>
      </c>
      <c r="F21" t="s">
        <v>273</v>
      </c>
      <c r="G21" t="s">
        <v>74</v>
      </c>
      <c r="H21" t="s">
        <v>74</v>
      </c>
      <c r="I21" t="s">
        <v>274</v>
      </c>
      <c r="J21" t="s">
        <v>223</v>
      </c>
      <c r="K21" t="s">
        <v>74</v>
      </c>
      <c r="L21" t="s">
        <v>74</v>
      </c>
      <c r="M21" t="s">
        <v>74</v>
      </c>
      <c r="N21" t="s">
        <v>74</v>
      </c>
      <c r="O21" t="s">
        <v>74</v>
      </c>
      <c r="P21" t="s">
        <v>74</v>
      </c>
      <c r="Q21" t="s">
        <v>74</v>
      </c>
      <c r="R21" t="s">
        <v>74</v>
      </c>
      <c r="S21" t="s">
        <v>74</v>
      </c>
      <c r="T21" t="s">
        <v>74</v>
      </c>
      <c r="U21" t="s">
        <v>74</v>
      </c>
      <c r="V21" t="s">
        <v>275</v>
      </c>
      <c r="W21" t="s">
        <v>74</v>
      </c>
      <c r="X21" t="s">
        <v>74</v>
      </c>
      <c r="Y21" t="s">
        <v>74</v>
      </c>
      <c r="Z21" t="s">
        <v>74</v>
      </c>
      <c r="AA21" t="s">
        <v>276</v>
      </c>
      <c r="AB21" t="s">
        <v>74</v>
      </c>
      <c r="AC21" t="s">
        <v>74</v>
      </c>
      <c r="AD21" t="s">
        <v>74</v>
      </c>
      <c r="AE21" t="s">
        <v>74</v>
      </c>
      <c r="AF21" t="s">
        <v>74</v>
      </c>
      <c r="AG21" t="s">
        <v>74</v>
      </c>
      <c r="AH21" t="s">
        <v>74</v>
      </c>
      <c r="AI21" t="s">
        <v>74</v>
      </c>
      <c r="AJ21" t="s">
        <v>74</v>
      </c>
      <c r="AK21" t="s">
        <v>74</v>
      </c>
      <c r="AL21" t="s">
        <v>74</v>
      </c>
      <c r="AM21" t="s">
        <v>74</v>
      </c>
      <c r="AN21" t="s">
        <v>74</v>
      </c>
      <c r="AO21" t="s">
        <v>227</v>
      </c>
      <c r="AP21" t="s">
        <v>228</v>
      </c>
      <c r="AQ21" t="s">
        <v>74</v>
      </c>
      <c r="AR21" t="s">
        <v>74</v>
      </c>
      <c r="AS21" t="s">
        <v>74</v>
      </c>
      <c r="AT21" t="s">
        <v>177</v>
      </c>
      <c r="AU21">
        <v>2025</v>
      </c>
      <c r="AV21">
        <v>311</v>
      </c>
      <c r="AW21" t="s">
        <v>74</v>
      </c>
      <c r="AX21">
        <v>3</v>
      </c>
      <c r="AY21" t="s">
        <v>74</v>
      </c>
      <c r="AZ21" t="s">
        <v>74</v>
      </c>
      <c r="BA21" t="s">
        <v>74</v>
      </c>
      <c r="BB21" t="s">
        <v>74</v>
      </c>
      <c r="BC21" t="s">
        <v>74</v>
      </c>
      <c r="BD21">
        <v>144029</v>
      </c>
      <c r="BE21" t="s">
        <v>277</v>
      </c>
      <c r="BF21" t="str">
        <f>HYPERLINK("http://dx.doi.org/10.1016/j.ijbiomac.2025.144029","http://dx.doi.org/10.1016/j.ijbiomac.2025.144029")</f>
        <v>http://dx.doi.org/10.1016/j.ijbiomac.2025.144029</v>
      </c>
      <c r="BG21" t="s">
        <v>74</v>
      </c>
      <c r="BH21" t="s">
        <v>74</v>
      </c>
      <c r="BI21" t="s">
        <v>74</v>
      </c>
      <c r="BJ21" t="s">
        <v>74</v>
      </c>
      <c r="BK21" t="s">
        <v>74</v>
      </c>
      <c r="BL21" t="s">
        <v>74</v>
      </c>
      <c r="BM21" t="s">
        <v>74</v>
      </c>
      <c r="BN21">
        <v>40345277</v>
      </c>
      <c r="BO21" t="s">
        <v>74</v>
      </c>
      <c r="BP21" t="s">
        <v>74</v>
      </c>
      <c r="BQ21" t="s">
        <v>74</v>
      </c>
      <c r="BR21" t="s">
        <v>74</v>
      </c>
      <c r="BS21" t="s">
        <v>278</v>
      </c>
      <c r="BT21" t="str">
        <f>HYPERLINK("https%3A%2F%2Fwww.webofscience.com%2Fwos%2Fwoscc%2Ffull-record%2FWOS:001510389900001","View Full Record in Web of Science")</f>
        <v>View Full Record in Web of Science</v>
      </c>
    </row>
    <row r="22" spans="1:72" x14ac:dyDescent="0.25">
      <c r="A22" t="s">
        <v>72</v>
      </c>
      <c r="B22" t="s">
        <v>279</v>
      </c>
      <c r="C22" t="s">
        <v>74</v>
      </c>
      <c r="D22" t="s">
        <v>74</v>
      </c>
      <c r="E22" t="s">
        <v>74</v>
      </c>
      <c r="F22" t="s">
        <v>280</v>
      </c>
      <c r="G22" t="s">
        <v>74</v>
      </c>
      <c r="H22" t="s">
        <v>74</v>
      </c>
      <c r="I22" t="s">
        <v>281</v>
      </c>
      <c r="J22" t="s">
        <v>282</v>
      </c>
      <c r="K22" t="s">
        <v>74</v>
      </c>
      <c r="L22" t="s">
        <v>74</v>
      </c>
      <c r="M22" t="s">
        <v>74</v>
      </c>
      <c r="N22" t="s">
        <v>74</v>
      </c>
      <c r="O22" t="s">
        <v>74</v>
      </c>
      <c r="P22" t="s">
        <v>74</v>
      </c>
      <c r="Q22" t="s">
        <v>74</v>
      </c>
      <c r="R22" t="s">
        <v>74</v>
      </c>
      <c r="S22" t="s">
        <v>74</v>
      </c>
      <c r="T22" t="s">
        <v>74</v>
      </c>
      <c r="U22" t="s">
        <v>74</v>
      </c>
      <c r="V22" t="s">
        <v>283</v>
      </c>
      <c r="W22" t="s">
        <v>74</v>
      </c>
      <c r="X22" t="s">
        <v>74</v>
      </c>
      <c r="Y22" t="s">
        <v>74</v>
      </c>
      <c r="Z22" t="s">
        <v>74</v>
      </c>
      <c r="AA22" t="s">
        <v>74</v>
      </c>
      <c r="AB22" t="s">
        <v>74</v>
      </c>
      <c r="AC22" t="s">
        <v>74</v>
      </c>
      <c r="AD22" t="s">
        <v>74</v>
      </c>
      <c r="AE22" t="s">
        <v>74</v>
      </c>
      <c r="AF22" t="s">
        <v>74</v>
      </c>
      <c r="AG22" t="s">
        <v>74</v>
      </c>
      <c r="AH22" t="s">
        <v>74</v>
      </c>
      <c r="AI22" t="s">
        <v>74</v>
      </c>
      <c r="AJ22" t="s">
        <v>74</v>
      </c>
      <c r="AK22" t="s">
        <v>74</v>
      </c>
      <c r="AL22" t="s">
        <v>74</v>
      </c>
      <c r="AM22" t="s">
        <v>74</v>
      </c>
      <c r="AN22" t="s">
        <v>74</v>
      </c>
      <c r="AO22" t="s">
        <v>284</v>
      </c>
      <c r="AP22" t="s">
        <v>74</v>
      </c>
      <c r="AQ22" t="s">
        <v>74</v>
      </c>
      <c r="AR22" t="s">
        <v>74</v>
      </c>
      <c r="AS22" t="s">
        <v>74</v>
      </c>
      <c r="AT22" t="s">
        <v>217</v>
      </c>
      <c r="AU22">
        <v>2025</v>
      </c>
      <c r="AV22">
        <v>223</v>
      </c>
      <c r="AW22" t="s">
        <v>74</v>
      </c>
      <c r="AX22" t="s">
        <v>74</v>
      </c>
      <c r="AY22" t="s">
        <v>74</v>
      </c>
      <c r="AZ22" t="s">
        <v>74</v>
      </c>
      <c r="BA22" t="s">
        <v>74</v>
      </c>
      <c r="BB22" t="s">
        <v>74</v>
      </c>
      <c r="BC22" t="s">
        <v>74</v>
      </c>
      <c r="BD22">
        <v>109180</v>
      </c>
      <c r="BE22" t="s">
        <v>285</v>
      </c>
      <c r="BF22" t="str">
        <f>HYPERLINK("http://dx.doi.org/10.1016/j.mineng.2025.109180","http://dx.doi.org/10.1016/j.mineng.2025.109180")</f>
        <v>http://dx.doi.org/10.1016/j.mineng.2025.109180</v>
      </c>
      <c r="BG22" t="s">
        <v>74</v>
      </c>
      <c r="BH22" t="s">
        <v>198</v>
      </c>
      <c r="BI22" t="s">
        <v>74</v>
      </c>
      <c r="BJ22" t="s">
        <v>74</v>
      </c>
      <c r="BK22" t="s">
        <v>74</v>
      </c>
      <c r="BL22" t="s">
        <v>74</v>
      </c>
      <c r="BM22" t="s">
        <v>74</v>
      </c>
      <c r="BN22" t="s">
        <v>74</v>
      </c>
      <c r="BO22" t="s">
        <v>74</v>
      </c>
      <c r="BP22" t="s">
        <v>74</v>
      </c>
      <c r="BQ22" t="s">
        <v>74</v>
      </c>
      <c r="BR22" t="s">
        <v>74</v>
      </c>
      <c r="BS22" t="s">
        <v>286</v>
      </c>
      <c r="BT22" t="str">
        <f>HYPERLINK("https%3A%2F%2Fwww.webofscience.com%2Fwos%2Fwoscc%2Ffull-record%2FWOS:001413279500001","View Full Record in Web of Science")</f>
        <v>View Full Record in Web of Science</v>
      </c>
    </row>
    <row r="23" spans="1:72" x14ac:dyDescent="0.25">
      <c r="A23" t="s">
        <v>72</v>
      </c>
      <c r="B23" t="s">
        <v>287</v>
      </c>
      <c r="C23" t="s">
        <v>74</v>
      </c>
      <c r="D23" t="s">
        <v>74</v>
      </c>
      <c r="E23" t="s">
        <v>74</v>
      </c>
      <c r="F23" t="s">
        <v>288</v>
      </c>
      <c r="G23" t="s">
        <v>74</v>
      </c>
      <c r="H23" t="s">
        <v>74</v>
      </c>
      <c r="I23" t="s">
        <v>289</v>
      </c>
      <c r="J23" t="s">
        <v>290</v>
      </c>
      <c r="K23" t="s">
        <v>74</v>
      </c>
      <c r="L23" t="s">
        <v>74</v>
      </c>
      <c r="M23" t="s">
        <v>74</v>
      </c>
      <c r="N23" t="s">
        <v>74</v>
      </c>
      <c r="O23" t="s">
        <v>74</v>
      </c>
      <c r="P23" t="s">
        <v>74</v>
      </c>
      <c r="Q23" t="s">
        <v>74</v>
      </c>
      <c r="R23" t="s">
        <v>74</v>
      </c>
      <c r="S23" t="s">
        <v>74</v>
      </c>
      <c r="T23" t="s">
        <v>74</v>
      </c>
      <c r="U23" t="s">
        <v>74</v>
      </c>
      <c r="V23" t="s">
        <v>291</v>
      </c>
      <c r="W23" t="s">
        <v>74</v>
      </c>
      <c r="X23" t="s">
        <v>74</v>
      </c>
      <c r="Y23" t="s">
        <v>74</v>
      </c>
      <c r="Z23" t="s">
        <v>74</v>
      </c>
      <c r="AA23" t="s">
        <v>292</v>
      </c>
      <c r="AB23" t="s">
        <v>293</v>
      </c>
      <c r="AC23" t="s">
        <v>74</v>
      </c>
      <c r="AD23" t="s">
        <v>74</v>
      </c>
      <c r="AE23" t="s">
        <v>74</v>
      </c>
      <c r="AF23" t="s">
        <v>74</v>
      </c>
      <c r="AG23" t="s">
        <v>74</v>
      </c>
      <c r="AH23" t="s">
        <v>74</v>
      </c>
      <c r="AI23" t="s">
        <v>74</v>
      </c>
      <c r="AJ23" t="s">
        <v>74</v>
      </c>
      <c r="AK23" t="s">
        <v>74</v>
      </c>
      <c r="AL23" t="s">
        <v>74</v>
      </c>
      <c r="AM23" t="s">
        <v>74</v>
      </c>
      <c r="AN23" t="s">
        <v>74</v>
      </c>
      <c r="AO23" t="s">
        <v>294</v>
      </c>
      <c r="AP23" t="s">
        <v>295</v>
      </c>
      <c r="AQ23" t="s">
        <v>74</v>
      </c>
      <c r="AR23" t="s">
        <v>74</v>
      </c>
      <c r="AS23" t="s">
        <v>74</v>
      </c>
      <c r="AT23" t="s">
        <v>296</v>
      </c>
      <c r="AU23">
        <v>2025</v>
      </c>
      <c r="AV23">
        <v>26</v>
      </c>
      <c r="AW23">
        <v>7</v>
      </c>
      <c r="AX23" t="s">
        <v>74</v>
      </c>
      <c r="AY23" t="s">
        <v>74</v>
      </c>
      <c r="AZ23" t="s">
        <v>74</v>
      </c>
      <c r="BA23" t="s">
        <v>74</v>
      </c>
      <c r="BB23" t="s">
        <v>74</v>
      </c>
      <c r="BC23" t="s">
        <v>74</v>
      </c>
      <c r="BD23" t="s">
        <v>74</v>
      </c>
      <c r="BE23" t="s">
        <v>297</v>
      </c>
      <c r="BF23" t="str">
        <f>HYPERLINK("http://dx.doi.org/10.1002/cbic.202400939","http://dx.doi.org/10.1002/cbic.202400939")</f>
        <v>http://dx.doi.org/10.1002/cbic.202400939</v>
      </c>
      <c r="BG23" t="s">
        <v>74</v>
      </c>
      <c r="BH23" t="s">
        <v>298</v>
      </c>
      <c r="BI23" t="s">
        <v>74</v>
      </c>
      <c r="BJ23" t="s">
        <v>74</v>
      </c>
      <c r="BK23" t="s">
        <v>74</v>
      </c>
      <c r="BL23" t="s">
        <v>74</v>
      </c>
      <c r="BM23" t="s">
        <v>74</v>
      </c>
      <c r="BN23">
        <v>39866020</v>
      </c>
      <c r="BO23" t="s">
        <v>74</v>
      </c>
      <c r="BP23" t="s">
        <v>74</v>
      </c>
      <c r="BQ23" t="s">
        <v>74</v>
      </c>
      <c r="BR23" t="s">
        <v>74</v>
      </c>
      <c r="BS23" t="s">
        <v>299</v>
      </c>
      <c r="BT23" t="str">
        <f>HYPERLINK("https%3A%2F%2Fwww.webofscience.com%2Fwos%2Fwoscc%2Ffull-record%2FWOS:001412861500001","View Full Record in Web of Science")</f>
        <v>View Full Record in Web of Science</v>
      </c>
    </row>
    <row r="24" spans="1:72" x14ac:dyDescent="0.25">
      <c r="A24" t="s">
        <v>72</v>
      </c>
      <c r="B24" t="s">
        <v>300</v>
      </c>
      <c r="C24" t="s">
        <v>74</v>
      </c>
      <c r="D24" t="s">
        <v>74</v>
      </c>
      <c r="E24" t="s">
        <v>74</v>
      </c>
      <c r="F24" t="s">
        <v>301</v>
      </c>
      <c r="G24" t="s">
        <v>74</v>
      </c>
      <c r="H24" t="s">
        <v>74</v>
      </c>
      <c r="I24" t="s">
        <v>302</v>
      </c>
      <c r="J24" t="s">
        <v>303</v>
      </c>
      <c r="K24" t="s">
        <v>74</v>
      </c>
      <c r="L24" t="s">
        <v>74</v>
      </c>
      <c r="M24" t="s">
        <v>74</v>
      </c>
      <c r="N24" t="s">
        <v>74</v>
      </c>
      <c r="O24" t="s">
        <v>74</v>
      </c>
      <c r="P24" t="s">
        <v>74</v>
      </c>
      <c r="Q24" t="s">
        <v>74</v>
      </c>
      <c r="R24" t="s">
        <v>74</v>
      </c>
      <c r="S24" t="s">
        <v>74</v>
      </c>
      <c r="T24" t="s">
        <v>74</v>
      </c>
      <c r="U24" t="s">
        <v>74</v>
      </c>
      <c r="V24" t="s">
        <v>304</v>
      </c>
      <c r="W24" t="s">
        <v>74</v>
      </c>
      <c r="X24" t="s">
        <v>74</v>
      </c>
      <c r="Y24" t="s">
        <v>74</v>
      </c>
      <c r="Z24" t="s">
        <v>74</v>
      </c>
      <c r="AA24" t="s">
        <v>305</v>
      </c>
      <c r="AB24" t="s">
        <v>306</v>
      </c>
      <c r="AC24" t="s">
        <v>74</v>
      </c>
      <c r="AD24" t="s">
        <v>74</v>
      </c>
      <c r="AE24" t="s">
        <v>74</v>
      </c>
      <c r="AF24" t="s">
        <v>74</v>
      </c>
      <c r="AG24" t="s">
        <v>74</v>
      </c>
      <c r="AH24" t="s">
        <v>74</v>
      </c>
      <c r="AI24" t="s">
        <v>74</v>
      </c>
      <c r="AJ24" t="s">
        <v>74</v>
      </c>
      <c r="AK24" t="s">
        <v>74</v>
      </c>
      <c r="AL24" t="s">
        <v>74</v>
      </c>
      <c r="AM24" t="s">
        <v>74</v>
      </c>
      <c r="AN24" t="s">
        <v>74</v>
      </c>
      <c r="AO24" t="s">
        <v>307</v>
      </c>
      <c r="AP24" t="s">
        <v>308</v>
      </c>
      <c r="AQ24" t="s">
        <v>74</v>
      </c>
      <c r="AR24" t="s">
        <v>74</v>
      </c>
      <c r="AS24" t="s">
        <v>74</v>
      </c>
      <c r="AT24" t="s">
        <v>74</v>
      </c>
      <c r="AU24">
        <v>2025</v>
      </c>
      <c r="AV24">
        <v>2025</v>
      </c>
      <c r="AW24">
        <v>1</v>
      </c>
      <c r="AX24" t="s">
        <v>74</v>
      </c>
      <c r="AY24" t="s">
        <v>74</v>
      </c>
      <c r="AZ24" t="s">
        <v>74</v>
      </c>
      <c r="BA24" t="s">
        <v>74</v>
      </c>
      <c r="BB24" t="s">
        <v>74</v>
      </c>
      <c r="BC24" t="s">
        <v>74</v>
      </c>
      <c r="BD24">
        <v>6683745</v>
      </c>
      <c r="BE24" t="s">
        <v>309</v>
      </c>
      <c r="BF24" t="str">
        <f>HYPERLINK("http://dx.doi.org/10.1155/sci/6683745","http://dx.doi.org/10.1155/sci/6683745")</f>
        <v>http://dx.doi.org/10.1155/sci/6683745</v>
      </c>
      <c r="BG24" t="s">
        <v>74</v>
      </c>
      <c r="BH24" t="s">
        <v>74</v>
      </c>
      <c r="BI24" t="s">
        <v>74</v>
      </c>
      <c r="BJ24" t="s">
        <v>74</v>
      </c>
      <c r="BK24" t="s">
        <v>74</v>
      </c>
      <c r="BL24" t="s">
        <v>74</v>
      </c>
      <c r="BM24" t="s">
        <v>74</v>
      </c>
      <c r="BN24">
        <v>40151391</v>
      </c>
      <c r="BO24" t="s">
        <v>74</v>
      </c>
      <c r="BP24" t="s">
        <v>74</v>
      </c>
      <c r="BQ24" t="s">
        <v>74</v>
      </c>
      <c r="BR24" t="s">
        <v>74</v>
      </c>
      <c r="BS24" t="s">
        <v>310</v>
      </c>
      <c r="BT24" t="str">
        <f>HYPERLINK("https%3A%2F%2Fwww.webofscience.com%2Fwos%2Fwoscc%2Ffull-record%2FWOS:001448748900001","View Full Record in Web of Science")</f>
        <v>View Full Record in Web of Science</v>
      </c>
    </row>
    <row r="25" spans="1:72" x14ac:dyDescent="0.25">
      <c r="A25" t="s">
        <v>72</v>
      </c>
      <c r="B25" t="s">
        <v>311</v>
      </c>
      <c r="C25" t="s">
        <v>74</v>
      </c>
      <c r="D25" t="s">
        <v>74</v>
      </c>
      <c r="E25" t="s">
        <v>74</v>
      </c>
      <c r="F25" t="s">
        <v>312</v>
      </c>
      <c r="G25" t="s">
        <v>74</v>
      </c>
      <c r="H25" t="s">
        <v>74</v>
      </c>
      <c r="I25" t="s">
        <v>313</v>
      </c>
      <c r="J25" t="s">
        <v>154</v>
      </c>
      <c r="K25" t="s">
        <v>74</v>
      </c>
      <c r="L25" t="s">
        <v>74</v>
      </c>
      <c r="M25" t="s">
        <v>74</v>
      </c>
      <c r="N25" t="s">
        <v>74</v>
      </c>
      <c r="O25" t="s">
        <v>74</v>
      </c>
      <c r="P25" t="s">
        <v>74</v>
      </c>
      <c r="Q25" t="s">
        <v>74</v>
      </c>
      <c r="R25" t="s">
        <v>74</v>
      </c>
      <c r="S25" t="s">
        <v>74</v>
      </c>
      <c r="T25" t="s">
        <v>74</v>
      </c>
      <c r="U25" t="s">
        <v>74</v>
      </c>
      <c r="V25" t="s">
        <v>314</v>
      </c>
      <c r="W25" t="s">
        <v>74</v>
      </c>
      <c r="X25" t="s">
        <v>74</v>
      </c>
      <c r="Y25" t="s">
        <v>74</v>
      </c>
      <c r="Z25" t="s">
        <v>74</v>
      </c>
      <c r="AA25" t="s">
        <v>315</v>
      </c>
      <c r="AB25" t="s">
        <v>316</v>
      </c>
      <c r="AC25" t="s">
        <v>74</v>
      </c>
      <c r="AD25" t="s">
        <v>74</v>
      </c>
      <c r="AE25" t="s">
        <v>74</v>
      </c>
      <c r="AF25" t="s">
        <v>74</v>
      </c>
      <c r="AG25" t="s">
        <v>74</v>
      </c>
      <c r="AH25" t="s">
        <v>74</v>
      </c>
      <c r="AI25" t="s">
        <v>74</v>
      </c>
      <c r="AJ25" t="s">
        <v>74</v>
      </c>
      <c r="AK25" t="s">
        <v>74</v>
      </c>
      <c r="AL25" t="s">
        <v>74</v>
      </c>
      <c r="AM25" t="s">
        <v>74</v>
      </c>
      <c r="AN25" t="s">
        <v>74</v>
      </c>
      <c r="AO25" t="s">
        <v>74</v>
      </c>
      <c r="AP25" t="s">
        <v>157</v>
      </c>
      <c r="AQ25" t="s">
        <v>74</v>
      </c>
      <c r="AR25" t="s">
        <v>74</v>
      </c>
      <c r="AS25" t="s">
        <v>74</v>
      </c>
      <c r="AT25" t="s">
        <v>317</v>
      </c>
      <c r="AU25">
        <v>2025</v>
      </c>
      <c r="AV25">
        <v>14</v>
      </c>
      <c r="AW25">
        <v>11</v>
      </c>
      <c r="AX25" t="s">
        <v>74</v>
      </c>
      <c r="AY25" t="s">
        <v>74</v>
      </c>
      <c r="AZ25" t="s">
        <v>74</v>
      </c>
      <c r="BA25" t="s">
        <v>74</v>
      </c>
      <c r="BB25" t="s">
        <v>74</v>
      </c>
      <c r="BC25" t="s">
        <v>74</v>
      </c>
      <c r="BD25">
        <v>1850</v>
      </c>
      <c r="BE25" t="s">
        <v>318</v>
      </c>
      <c r="BF25" t="str">
        <f>HYPERLINK("http://dx.doi.org/10.3390/foods14111850","http://dx.doi.org/10.3390/foods14111850")</f>
        <v>http://dx.doi.org/10.3390/foods14111850</v>
      </c>
      <c r="BG25" t="s">
        <v>74</v>
      </c>
      <c r="BH25" t="s">
        <v>74</v>
      </c>
      <c r="BI25" t="s">
        <v>74</v>
      </c>
      <c r="BJ25" t="s">
        <v>74</v>
      </c>
      <c r="BK25" t="s">
        <v>74</v>
      </c>
      <c r="BL25" t="s">
        <v>74</v>
      </c>
      <c r="BM25" t="s">
        <v>74</v>
      </c>
      <c r="BN25">
        <v>40509378</v>
      </c>
      <c r="BO25" t="s">
        <v>74</v>
      </c>
      <c r="BP25" t="s">
        <v>74</v>
      </c>
      <c r="BQ25" t="s">
        <v>74</v>
      </c>
      <c r="BR25" t="s">
        <v>74</v>
      </c>
      <c r="BS25" t="s">
        <v>319</v>
      </c>
      <c r="BT25" t="str">
        <f>HYPERLINK("https%3A%2F%2Fwww.webofscience.com%2Fwos%2Fwoscc%2Ffull-record%2FWOS:001505839600001","View Full Record in Web of Science")</f>
        <v>View Full Record in Web of Science</v>
      </c>
    </row>
    <row r="26" spans="1:72" x14ac:dyDescent="0.25">
      <c r="A26" t="s">
        <v>72</v>
      </c>
      <c r="B26" t="s">
        <v>320</v>
      </c>
      <c r="C26" t="s">
        <v>74</v>
      </c>
      <c r="D26" t="s">
        <v>74</v>
      </c>
      <c r="E26" t="s">
        <v>74</v>
      </c>
      <c r="F26" t="s">
        <v>321</v>
      </c>
      <c r="G26" t="s">
        <v>74</v>
      </c>
      <c r="H26" t="s">
        <v>74</v>
      </c>
      <c r="I26" t="s">
        <v>322</v>
      </c>
      <c r="J26" t="s">
        <v>323</v>
      </c>
      <c r="K26" t="s">
        <v>74</v>
      </c>
      <c r="L26" t="s">
        <v>74</v>
      </c>
      <c r="M26" t="s">
        <v>74</v>
      </c>
      <c r="N26" t="s">
        <v>74</v>
      </c>
      <c r="O26" t="s">
        <v>74</v>
      </c>
      <c r="P26" t="s">
        <v>74</v>
      </c>
      <c r="Q26" t="s">
        <v>74</v>
      </c>
      <c r="R26" t="s">
        <v>74</v>
      </c>
      <c r="S26" t="s">
        <v>74</v>
      </c>
      <c r="T26" t="s">
        <v>74</v>
      </c>
      <c r="U26" t="s">
        <v>74</v>
      </c>
      <c r="V26" t="s">
        <v>324</v>
      </c>
      <c r="W26" t="s">
        <v>74</v>
      </c>
      <c r="X26" t="s">
        <v>74</v>
      </c>
      <c r="Y26" t="s">
        <v>74</v>
      </c>
      <c r="Z26" t="s">
        <v>74</v>
      </c>
      <c r="AA26" t="s">
        <v>325</v>
      </c>
      <c r="AB26" t="s">
        <v>74</v>
      </c>
      <c r="AC26" t="s">
        <v>74</v>
      </c>
      <c r="AD26" t="s">
        <v>74</v>
      </c>
      <c r="AE26" t="s">
        <v>74</v>
      </c>
      <c r="AF26" t="s">
        <v>74</v>
      </c>
      <c r="AG26" t="s">
        <v>74</v>
      </c>
      <c r="AH26" t="s">
        <v>74</v>
      </c>
      <c r="AI26" t="s">
        <v>74</v>
      </c>
      <c r="AJ26" t="s">
        <v>74</v>
      </c>
      <c r="AK26" t="s">
        <v>74</v>
      </c>
      <c r="AL26" t="s">
        <v>74</v>
      </c>
      <c r="AM26" t="s">
        <v>74</v>
      </c>
      <c r="AN26" t="s">
        <v>74</v>
      </c>
      <c r="AO26" t="s">
        <v>326</v>
      </c>
      <c r="AP26" t="s">
        <v>74</v>
      </c>
      <c r="AQ26" t="s">
        <v>74</v>
      </c>
      <c r="AR26" t="s">
        <v>74</v>
      </c>
      <c r="AS26" t="s">
        <v>74</v>
      </c>
      <c r="AT26" t="s">
        <v>327</v>
      </c>
      <c r="AU26">
        <v>2025</v>
      </c>
      <c r="AV26" t="s">
        <v>74</v>
      </c>
      <c r="AW26" t="s">
        <v>74</v>
      </c>
      <c r="AX26" t="s">
        <v>74</v>
      </c>
      <c r="AY26" t="s">
        <v>74</v>
      </c>
      <c r="AZ26" t="s">
        <v>74</v>
      </c>
      <c r="BA26" t="s">
        <v>74</v>
      </c>
      <c r="BB26" t="s">
        <v>74</v>
      </c>
      <c r="BC26" t="s">
        <v>74</v>
      </c>
      <c r="BD26" t="s">
        <v>74</v>
      </c>
      <c r="BE26" t="s">
        <v>328</v>
      </c>
      <c r="BF26" t="str">
        <f>HYPERLINK("http://dx.doi.org/10.1002/cben.70030","http://dx.doi.org/10.1002/cben.70030")</f>
        <v>http://dx.doi.org/10.1002/cben.70030</v>
      </c>
      <c r="BG26" t="s">
        <v>74</v>
      </c>
      <c r="BH26" t="s">
        <v>329</v>
      </c>
      <c r="BI26" t="s">
        <v>74</v>
      </c>
      <c r="BJ26" t="s">
        <v>74</v>
      </c>
      <c r="BK26" t="s">
        <v>74</v>
      </c>
      <c r="BL26" t="s">
        <v>74</v>
      </c>
      <c r="BM26" t="s">
        <v>74</v>
      </c>
      <c r="BN26" t="s">
        <v>74</v>
      </c>
      <c r="BO26" t="s">
        <v>74</v>
      </c>
      <c r="BP26" t="s">
        <v>74</v>
      </c>
      <c r="BQ26" t="s">
        <v>74</v>
      </c>
      <c r="BR26" t="s">
        <v>74</v>
      </c>
      <c r="BS26" t="s">
        <v>330</v>
      </c>
      <c r="BT26" t="str">
        <f>HYPERLINK("https%3A%2F%2Fwww.webofscience.com%2Fwos%2Fwoscc%2Ffull-record%2FWOS:001590786100001","View Full Record in Web of Science")</f>
        <v>View Full Record in Web of Science</v>
      </c>
    </row>
    <row r="27" spans="1:72" x14ac:dyDescent="0.25">
      <c r="A27" t="s">
        <v>72</v>
      </c>
      <c r="B27" t="s">
        <v>331</v>
      </c>
      <c r="C27" t="s">
        <v>74</v>
      </c>
      <c r="D27" t="s">
        <v>74</v>
      </c>
      <c r="E27" t="s">
        <v>74</v>
      </c>
      <c r="F27" t="s">
        <v>332</v>
      </c>
      <c r="G27" t="s">
        <v>74</v>
      </c>
      <c r="H27" t="s">
        <v>74</v>
      </c>
      <c r="I27" t="s">
        <v>333</v>
      </c>
      <c r="J27" t="s">
        <v>334</v>
      </c>
      <c r="K27" t="s">
        <v>74</v>
      </c>
      <c r="L27" t="s">
        <v>74</v>
      </c>
      <c r="M27" t="s">
        <v>74</v>
      </c>
      <c r="N27" t="s">
        <v>74</v>
      </c>
      <c r="O27" t="s">
        <v>74</v>
      </c>
      <c r="P27" t="s">
        <v>74</v>
      </c>
      <c r="Q27" t="s">
        <v>74</v>
      </c>
      <c r="R27" t="s">
        <v>74</v>
      </c>
      <c r="S27" t="s">
        <v>74</v>
      </c>
      <c r="T27" t="s">
        <v>74</v>
      </c>
      <c r="U27" t="s">
        <v>74</v>
      </c>
      <c r="V27" t="s">
        <v>335</v>
      </c>
      <c r="W27" t="s">
        <v>74</v>
      </c>
      <c r="X27" t="s">
        <v>74</v>
      </c>
      <c r="Y27" t="s">
        <v>74</v>
      </c>
      <c r="Z27" t="s">
        <v>74</v>
      </c>
      <c r="AA27" t="s">
        <v>74</v>
      </c>
      <c r="AB27" t="s">
        <v>336</v>
      </c>
      <c r="AC27" t="s">
        <v>74</v>
      </c>
      <c r="AD27" t="s">
        <v>74</v>
      </c>
      <c r="AE27" t="s">
        <v>74</v>
      </c>
      <c r="AF27" t="s">
        <v>74</v>
      </c>
      <c r="AG27" t="s">
        <v>74</v>
      </c>
      <c r="AH27" t="s">
        <v>74</v>
      </c>
      <c r="AI27" t="s">
        <v>74</v>
      </c>
      <c r="AJ27" t="s">
        <v>74</v>
      </c>
      <c r="AK27" t="s">
        <v>74</v>
      </c>
      <c r="AL27" t="s">
        <v>74</v>
      </c>
      <c r="AM27" t="s">
        <v>74</v>
      </c>
      <c r="AN27" t="s">
        <v>74</v>
      </c>
      <c r="AO27" t="s">
        <v>74</v>
      </c>
      <c r="AP27" t="s">
        <v>337</v>
      </c>
      <c r="AQ27" t="s">
        <v>74</v>
      </c>
      <c r="AR27" t="s">
        <v>74</v>
      </c>
      <c r="AS27" t="s">
        <v>74</v>
      </c>
      <c r="AT27" t="s">
        <v>338</v>
      </c>
      <c r="AU27">
        <v>2025</v>
      </c>
      <c r="AV27">
        <v>13</v>
      </c>
      <c r="AW27">
        <v>8</v>
      </c>
      <c r="AX27" t="s">
        <v>74</v>
      </c>
      <c r="AY27" t="s">
        <v>74</v>
      </c>
      <c r="AZ27" t="s">
        <v>74</v>
      </c>
      <c r="BA27" t="s">
        <v>74</v>
      </c>
      <c r="BB27" t="s">
        <v>74</v>
      </c>
      <c r="BC27" t="s">
        <v>74</v>
      </c>
      <c r="BD27">
        <v>2331</v>
      </c>
      <c r="BE27" t="s">
        <v>339</v>
      </c>
      <c r="BF27" t="str">
        <f>HYPERLINK("http://dx.doi.org/10.3390/pr13082331","http://dx.doi.org/10.3390/pr13082331")</f>
        <v>http://dx.doi.org/10.3390/pr13082331</v>
      </c>
      <c r="BG27" t="s">
        <v>74</v>
      </c>
      <c r="BH27" t="s">
        <v>74</v>
      </c>
      <c r="BI27" t="s">
        <v>74</v>
      </c>
      <c r="BJ27" t="s">
        <v>74</v>
      </c>
      <c r="BK27" t="s">
        <v>74</v>
      </c>
      <c r="BL27" t="s">
        <v>74</v>
      </c>
      <c r="BM27" t="s">
        <v>74</v>
      </c>
      <c r="BN27" t="s">
        <v>74</v>
      </c>
      <c r="BO27" t="s">
        <v>74</v>
      </c>
      <c r="BP27" t="s">
        <v>74</v>
      </c>
      <c r="BQ27" t="s">
        <v>74</v>
      </c>
      <c r="BR27" t="s">
        <v>74</v>
      </c>
      <c r="BS27" t="s">
        <v>340</v>
      </c>
      <c r="BT27" t="str">
        <f>HYPERLINK("https%3A%2F%2Fwww.webofscience.com%2Fwos%2Fwoscc%2Ffull-record%2FWOS:001557557900001","View Full Record in Web of Science")</f>
        <v>View Full Record in Web of Science</v>
      </c>
    </row>
    <row r="28" spans="1:72" x14ac:dyDescent="0.25">
      <c r="A28" t="s">
        <v>72</v>
      </c>
      <c r="B28" t="s">
        <v>341</v>
      </c>
      <c r="C28" t="s">
        <v>74</v>
      </c>
      <c r="D28" t="s">
        <v>74</v>
      </c>
      <c r="E28" t="s">
        <v>74</v>
      </c>
      <c r="F28" t="s">
        <v>342</v>
      </c>
      <c r="G28" t="s">
        <v>74</v>
      </c>
      <c r="H28" t="s">
        <v>74</v>
      </c>
      <c r="I28" t="s">
        <v>343</v>
      </c>
      <c r="J28" t="s">
        <v>344</v>
      </c>
      <c r="K28" t="s">
        <v>74</v>
      </c>
      <c r="L28" t="s">
        <v>74</v>
      </c>
      <c r="M28" t="s">
        <v>74</v>
      </c>
      <c r="N28" t="s">
        <v>74</v>
      </c>
      <c r="O28" t="s">
        <v>74</v>
      </c>
      <c r="P28" t="s">
        <v>74</v>
      </c>
      <c r="Q28" t="s">
        <v>74</v>
      </c>
      <c r="R28" t="s">
        <v>74</v>
      </c>
      <c r="S28" t="s">
        <v>74</v>
      </c>
      <c r="T28" t="s">
        <v>74</v>
      </c>
      <c r="U28" t="s">
        <v>74</v>
      </c>
      <c r="V28" t="s">
        <v>345</v>
      </c>
      <c r="W28" t="s">
        <v>74</v>
      </c>
      <c r="X28" t="s">
        <v>74</v>
      </c>
      <c r="Y28" t="s">
        <v>74</v>
      </c>
      <c r="Z28" t="s">
        <v>74</v>
      </c>
      <c r="AA28" t="s">
        <v>346</v>
      </c>
      <c r="AB28" t="s">
        <v>74</v>
      </c>
      <c r="AC28" t="s">
        <v>74</v>
      </c>
      <c r="AD28" t="s">
        <v>74</v>
      </c>
      <c r="AE28" t="s">
        <v>74</v>
      </c>
      <c r="AF28" t="s">
        <v>74</v>
      </c>
      <c r="AG28" t="s">
        <v>74</v>
      </c>
      <c r="AH28" t="s">
        <v>74</v>
      </c>
      <c r="AI28" t="s">
        <v>74</v>
      </c>
      <c r="AJ28" t="s">
        <v>74</v>
      </c>
      <c r="AK28" t="s">
        <v>74</v>
      </c>
      <c r="AL28" t="s">
        <v>74</v>
      </c>
      <c r="AM28" t="s">
        <v>74</v>
      </c>
      <c r="AN28" t="s">
        <v>74</v>
      </c>
      <c r="AO28" t="s">
        <v>347</v>
      </c>
      <c r="AP28" t="s">
        <v>348</v>
      </c>
      <c r="AQ28" t="s">
        <v>74</v>
      </c>
      <c r="AR28" t="s">
        <v>74</v>
      </c>
      <c r="AS28" t="s">
        <v>74</v>
      </c>
      <c r="AT28" t="s">
        <v>349</v>
      </c>
      <c r="AU28">
        <v>2025</v>
      </c>
      <c r="AV28">
        <v>92</v>
      </c>
      <c r="AW28">
        <v>6</v>
      </c>
      <c r="AX28" t="s">
        <v>74</v>
      </c>
      <c r="AY28" t="s">
        <v>74</v>
      </c>
      <c r="AZ28" t="s">
        <v>74</v>
      </c>
      <c r="BA28" t="s">
        <v>74</v>
      </c>
      <c r="BB28">
        <v>856</v>
      </c>
      <c r="BC28">
        <v>878</v>
      </c>
      <c r="BD28" t="s">
        <v>74</v>
      </c>
      <c r="BE28" t="s">
        <v>350</v>
      </c>
      <c r="BF28" t="str">
        <f>HYPERLINK("http://dx.doi.org/10.2166/wst.2025.132","http://dx.doi.org/10.2166/wst.2025.132")</f>
        <v>http://dx.doi.org/10.2166/wst.2025.132</v>
      </c>
      <c r="BG28" t="s">
        <v>74</v>
      </c>
      <c r="BH28" t="s">
        <v>74</v>
      </c>
      <c r="BI28" t="s">
        <v>74</v>
      </c>
      <c r="BJ28" t="s">
        <v>74</v>
      </c>
      <c r="BK28" t="s">
        <v>74</v>
      </c>
      <c r="BL28" t="s">
        <v>74</v>
      </c>
      <c r="BM28" t="s">
        <v>74</v>
      </c>
      <c r="BN28">
        <v>41026598</v>
      </c>
      <c r="BO28" t="s">
        <v>74</v>
      </c>
      <c r="BP28" t="s">
        <v>74</v>
      </c>
      <c r="BQ28" t="s">
        <v>74</v>
      </c>
      <c r="BR28" t="s">
        <v>74</v>
      </c>
      <c r="BS28" t="s">
        <v>351</v>
      </c>
      <c r="BT28" t="str">
        <f>HYPERLINK("https%3A%2F%2Fwww.webofscience.com%2Fwos%2Fwoscc%2Ffull-record%2FWOS:001585496400001","View Full Record in Web of Science")</f>
        <v>View Full Record in Web of Science</v>
      </c>
    </row>
    <row r="29" spans="1:72" x14ac:dyDescent="0.25">
      <c r="A29" t="s">
        <v>72</v>
      </c>
      <c r="B29" t="s">
        <v>352</v>
      </c>
      <c r="C29" t="s">
        <v>74</v>
      </c>
      <c r="D29" t="s">
        <v>74</v>
      </c>
      <c r="E29" t="s">
        <v>74</v>
      </c>
      <c r="F29" t="s">
        <v>353</v>
      </c>
      <c r="G29" t="s">
        <v>74</v>
      </c>
      <c r="H29" t="s">
        <v>74</v>
      </c>
      <c r="I29" t="s">
        <v>354</v>
      </c>
      <c r="J29" t="s">
        <v>355</v>
      </c>
      <c r="K29" t="s">
        <v>74</v>
      </c>
      <c r="L29" t="s">
        <v>74</v>
      </c>
      <c r="M29" t="s">
        <v>74</v>
      </c>
      <c r="N29" t="s">
        <v>74</v>
      </c>
      <c r="O29" t="s">
        <v>74</v>
      </c>
      <c r="P29" t="s">
        <v>74</v>
      </c>
      <c r="Q29" t="s">
        <v>74</v>
      </c>
      <c r="R29" t="s">
        <v>74</v>
      </c>
      <c r="S29" t="s">
        <v>74</v>
      </c>
      <c r="T29" t="s">
        <v>74</v>
      </c>
      <c r="U29" t="s">
        <v>74</v>
      </c>
      <c r="V29" t="s">
        <v>356</v>
      </c>
      <c r="W29" t="s">
        <v>74</v>
      </c>
      <c r="X29" t="s">
        <v>74</v>
      </c>
      <c r="Y29" t="s">
        <v>74</v>
      </c>
      <c r="Z29" t="s">
        <v>74</v>
      </c>
      <c r="AA29" t="s">
        <v>357</v>
      </c>
      <c r="AB29" t="s">
        <v>358</v>
      </c>
      <c r="AC29" t="s">
        <v>74</v>
      </c>
      <c r="AD29" t="s">
        <v>74</v>
      </c>
      <c r="AE29" t="s">
        <v>74</v>
      </c>
      <c r="AF29" t="s">
        <v>74</v>
      </c>
      <c r="AG29" t="s">
        <v>74</v>
      </c>
      <c r="AH29" t="s">
        <v>74</v>
      </c>
      <c r="AI29" t="s">
        <v>74</v>
      </c>
      <c r="AJ29" t="s">
        <v>74</v>
      </c>
      <c r="AK29" t="s">
        <v>74</v>
      </c>
      <c r="AL29" t="s">
        <v>74</v>
      </c>
      <c r="AM29" t="s">
        <v>74</v>
      </c>
      <c r="AN29" t="s">
        <v>74</v>
      </c>
      <c r="AO29" t="s">
        <v>74</v>
      </c>
      <c r="AP29" t="s">
        <v>359</v>
      </c>
      <c r="AQ29" t="s">
        <v>74</v>
      </c>
      <c r="AR29" t="s">
        <v>74</v>
      </c>
      <c r="AS29" t="s">
        <v>74</v>
      </c>
      <c r="AT29" t="s">
        <v>338</v>
      </c>
      <c r="AU29">
        <v>2025</v>
      </c>
      <c r="AV29">
        <v>16</v>
      </c>
      <c r="AW29">
        <v>8</v>
      </c>
      <c r="AX29" t="s">
        <v>74</v>
      </c>
      <c r="AY29" t="s">
        <v>74</v>
      </c>
      <c r="AZ29" t="s">
        <v>74</v>
      </c>
      <c r="BA29" t="s">
        <v>74</v>
      </c>
      <c r="BB29" t="s">
        <v>74</v>
      </c>
      <c r="BC29" t="s">
        <v>74</v>
      </c>
      <c r="BD29">
        <v>1208</v>
      </c>
      <c r="BE29" t="s">
        <v>360</v>
      </c>
      <c r="BF29" t="str">
        <f>HYPERLINK("http://dx.doi.org/10.3390/f16081208","http://dx.doi.org/10.3390/f16081208")</f>
        <v>http://dx.doi.org/10.3390/f16081208</v>
      </c>
      <c r="BG29" t="s">
        <v>74</v>
      </c>
      <c r="BH29" t="s">
        <v>74</v>
      </c>
      <c r="BI29" t="s">
        <v>74</v>
      </c>
      <c r="BJ29" t="s">
        <v>74</v>
      </c>
      <c r="BK29" t="s">
        <v>74</v>
      </c>
      <c r="BL29" t="s">
        <v>74</v>
      </c>
      <c r="BM29" t="s">
        <v>74</v>
      </c>
      <c r="BN29" t="s">
        <v>74</v>
      </c>
      <c r="BO29" t="s">
        <v>74</v>
      </c>
      <c r="BP29" t="s">
        <v>74</v>
      </c>
      <c r="BQ29" t="s">
        <v>74</v>
      </c>
      <c r="BR29" t="s">
        <v>74</v>
      </c>
      <c r="BS29" t="s">
        <v>361</v>
      </c>
      <c r="BT29" t="str">
        <f>HYPERLINK("https%3A%2F%2Fwww.webofscience.com%2Fwos%2Fwoscc%2Ffull-record%2FWOS:001558635100001","View Full Record in Web of Science")</f>
        <v>View Full Record in Web of Science</v>
      </c>
    </row>
    <row r="30" spans="1:72" x14ac:dyDescent="0.25">
      <c r="A30" t="s">
        <v>72</v>
      </c>
      <c r="B30" t="s">
        <v>362</v>
      </c>
      <c r="C30" t="s">
        <v>74</v>
      </c>
      <c r="D30" t="s">
        <v>74</v>
      </c>
      <c r="E30" t="s">
        <v>74</v>
      </c>
      <c r="F30" t="s">
        <v>363</v>
      </c>
      <c r="G30" t="s">
        <v>74</v>
      </c>
      <c r="H30" t="s">
        <v>74</v>
      </c>
      <c r="I30" t="s">
        <v>364</v>
      </c>
      <c r="J30" t="s">
        <v>365</v>
      </c>
      <c r="K30" t="s">
        <v>74</v>
      </c>
      <c r="L30" t="s">
        <v>74</v>
      </c>
      <c r="M30" t="s">
        <v>74</v>
      </c>
      <c r="N30" t="s">
        <v>74</v>
      </c>
      <c r="O30" t="s">
        <v>74</v>
      </c>
      <c r="P30" t="s">
        <v>74</v>
      </c>
      <c r="Q30" t="s">
        <v>74</v>
      </c>
      <c r="R30" t="s">
        <v>74</v>
      </c>
      <c r="S30" t="s">
        <v>74</v>
      </c>
      <c r="T30" t="s">
        <v>74</v>
      </c>
      <c r="U30" t="s">
        <v>74</v>
      </c>
      <c r="V30" t="s">
        <v>366</v>
      </c>
      <c r="W30" t="s">
        <v>74</v>
      </c>
      <c r="X30" t="s">
        <v>74</v>
      </c>
      <c r="Y30" t="s">
        <v>74</v>
      </c>
      <c r="Z30" t="s">
        <v>74</v>
      </c>
      <c r="AA30" t="s">
        <v>367</v>
      </c>
      <c r="AB30" t="s">
        <v>368</v>
      </c>
      <c r="AC30" t="s">
        <v>74</v>
      </c>
      <c r="AD30" t="s">
        <v>74</v>
      </c>
      <c r="AE30" t="s">
        <v>74</v>
      </c>
      <c r="AF30" t="s">
        <v>74</v>
      </c>
      <c r="AG30" t="s">
        <v>74</v>
      </c>
      <c r="AH30" t="s">
        <v>74</v>
      </c>
      <c r="AI30" t="s">
        <v>74</v>
      </c>
      <c r="AJ30" t="s">
        <v>74</v>
      </c>
      <c r="AK30" t="s">
        <v>74</v>
      </c>
      <c r="AL30" t="s">
        <v>74</v>
      </c>
      <c r="AM30" t="s">
        <v>74</v>
      </c>
      <c r="AN30" t="s">
        <v>74</v>
      </c>
      <c r="AO30" t="s">
        <v>74</v>
      </c>
      <c r="AP30" t="s">
        <v>369</v>
      </c>
      <c r="AQ30" t="s">
        <v>74</v>
      </c>
      <c r="AR30" t="s">
        <v>74</v>
      </c>
      <c r="AS30" t="s">
        <v>74</v>
      </c>
      <c r="AT30" t="s">
        <v>370</v>
      </c>
      <c r="AU30">
        <v>2025</v>
      </c>
      <c r="AV30">
        <v>5</v>
      </c>
      <c r="AW30">
        <v>2</v>
      </c>
      <c r="AX30" t="s">
        <v>74</v>
      </c>
      <c r="AY30" t="s">
        <v>74</v>
      </c>
      <c r="AZ30" t="s">
        <v>74</v>
      </c>
      <c r="BA30" t="s">
        <v>74</v>
      </c>
      <c r="BB30">
        <v>70</v>
      </c>
      <c r="BC30">
        <v>88</v>
      </c>
      <c r="BD30" t="s">
        <v>74</v>
      </c>
      <c r="BE30" t="s">
        <v>371</v>
      </c>
      <c r="BF30" t="str">
        <f>HYPERLINK("http://dx.doi.org/10.1021/acsengineeringau.4c00017","http://dx.doi.org/10.1021/acsengineeringau.4c00017")</f>
        <v>http://dx.doi.org/10.1021/acsengineeringau.4c00017</v>
      </c>
      <c r="BG30" t="s">
        <v>74</v>
      </c>
      <c r="BH30" t="s">
        <v>298</v>
      </c>
      <c r="BI30" t="s">
        <v>74</v>
      </c>
      <c r="BJ30" t="s">
        <v>74</v>
      </c>
      <c r="BK30" t="s">
        <v>74</v>
      </c>
      <c r="BL30" t="s">
        <v>74</v>
      </c>
      <c r="BM30" t="s">
        <v>74</v>
      </c>
      <c r="BN30" t="s">
        <v>74</v>
      </c>
      <c r="BO30" t="s">
        <v>74</v>
      </c>
      <c r="BP30" t="s">
        <v>74</v>
      </c>
      <c r="BQ30" t="s">
        <v>74</v>
      </c>
      <c r="BR30" t="s">
        <v>74</v>
      </c>
      <c r="BS30" t="s">
        <v>372</v>
      </c>
      <c r="BT30" t="str">
        <f>HYPERLINK("https%3A%2F%2Fwww.webofscience.com%2Fwos%2Fwoscc%2Ffull-record%2FWOS:001417467400001","View Full Record in Web of Science")</f>
        <v>View Full Record in Web of Science</v>
      </c>
    </row>
    <row r="31" spans="1:72" x14ac:dyDescent="0.25">
      <c r="A31" t="s">
        <v>72</v>
      </c>
      <c r="B31" t="s">
        <v>373</v>
      </c>
      <c r="C31" t="s">
        <v>74</v>
      </c>
      <c r="D31" t="s">
        <v>74</v>
      </c>
      <c r="E31" t="s">
        <v>74</v>
      </c>
      <c r="F31" t="s">
        <v>374</v>
      </c>
      <c r="G31" t="s">
        <v>74</v>
      </c>
      <c r="H31" t="s">
        <v>74</v>
      </c>
      <c r="I31" t="s">
        <v>375</v>
      </c>
      <c r="J31" t="s">
        <v>101</v>
      </c>
      <c r="K31" t="s">
        <v>74</v>
      </c>
      <c r="L31" t="s">
        <v>74</v>
      </c>
      <c r="M31" t="s">
        <v>74</v>
      </c>
      <c r="N31" t="s">
        <v>74</v>
      </c>
      <c r="O31" t="s">
        <v>74</v>
      </c>
      <c r="P31" t="s">
        <v>74</v>
      </c>
      <c r="Q31" t="s">
        <v>74</v>
      </c>
      <c r="R31" t="s">
        <v>74</v>
      </c>
      <c r="S31" t="s">
        <v>74</v>
      </c>
      <c r="T31" t="s">
        <v>74</v>
      </c>
      <c r="U31" t="s">
        <v>74</v>
      </c>
      <c r="V31" t="s">
        <v>376</v>
      </c>
      <c r="W31" t="s">
        <v>74</v>
      </c>
      <c r="X31" t="s">
        <v>74</v>
      </c>
      <c r="Y31" t="s">
        <v>74</v>
      </c>
      <c r="Z31" t="s">
        <v>74</v>
      </c>
      <c r="AA31" t="s">
        <v>377</v>
      </c>
      <c r="AB31" t="s">
        <v>74</v>
      </c>
      <c r="AC31" t="s">
        <v>74</v>
      </c>
      <c r="AD31" t="s">
        <v>74</v>
      </c>
      <c r="AE31" t="s">
        <v>74</v>
      </c>
      <c r="AF31" t="s">
        <v>74</v>
      </c>
      <c r="AG31" t="s">
        <v>74</v>
      </c>
      <c r="AH31" t="s">
        <v>74</v>
      </c>
      <c r="AI31" t="s">
        <v>74</v>
      </c>
      <c r="AJ31" t="s">
        <v>74</v>
      </c>
      <c r="AK31" t="s">
        <v>74</v>
      </c>
      <c r="AL31" t="s">
        <v>74</v>
      </c>
      <c r="AM31" t="s">
        <v>74</v>
      </c>
      <c r="AN31" t="s">
        <v>74</v>
      </c>
      <c r="AO31" t="s">
        <v>104</v>
      </c>
      <c r="AP31" t="s">
        <v>74</v>
      </c>
      <c r="AQ31" t="s">
        <v>74</v>
      </c>
      <c r="AR31" t="s">
        <v>74</v>
      </c>
      <c r="AS31" t="s">
        <v>74</v>
      </c>
      <c r="AT31" t="s">
        <v>95</v>
      </c>
      <c r="AU31">
        <v>2025</v>
      </c>
      <c r="AV31">
        <v>20</v>
      </c>
      <c r="AW31">
        <v>4</v>
      </c>
      <c r="AX31" t="s">
        <v>74</v>
      </c>
      <c r="AY31" t="s">
        <v>74</v>
      </c>
      <c r="AZ31" t="s">
        <v>74</v>
      </c>
      <c r="BA31" t="s">
        <v>74</v>
      </c>
      <c r="BB31" t="s">
        <v>74</v>
      </c>
      <c r="BC31" t="s">
        <v>74</v>
      </c>
      <c r="BD31" t="s">
        <v>74</v>
      </c>
      <c r="BE31" t="s">
        <v>378</v>
      </c>
      <c r="BF31" t="str">
        <f>HYPERLINK("http://dx.doi.org/10.15376/biores.20.4.10051-10068","http://dx.doi.org/10.15376/biores.20.4.10051-10068")</f>
        <v>http://dx.doi.org/10.15376/biores.20.4.10051-10068</v>
      </c>
      <c r="BG31" t="s">
        <v>74</v>
      </c>
      <c r="BH31" t="s">
        <v>74</v>
      </c>
      <c r="BI31" t="s">
        <v>74</v>
      </c>
      <c r="BJ31" t="s">
        <v>74</v>
      </c>
      <c r="BK31" t="s">
        <v>74</v>
      </c>
      <c r="BL31" t="s">
        <v>74</v>
      </c>
      <c r="BM31" t="s">
        <v>74</v>
      </c>
      <c r="BN31" t="s">
        <v>74</v>
      </c>
      <c r="BO31" t="s">
        <v>74</v>
      </c>
      <c r="BP31" t="s">
        <v>74</v>
      </c>
      <c r="BQ31" t="s">
        <v>74</v>
      </c>
      <c r="BR31" t="s">
        <v>74</v>
      </c>
      <c r="BS31" t="s">
        <v>379</v>
      </c>
      <c r="BT31" t="str">
        <f>HYPERLINK("https%3A%2F%2Fwww.webofscience.com%2Fwos%2Fwoscc%2Ffull-record%2FWOS:001603172900027","View Full Record in Web of Science")</f>
        <v>View Full Record in Web of Science</v>
      </c>
    </row>
    <row r="32" spans="1:72" x14ac:dyDescent="0.25">
      <c r="A32" t="s">
        <v>72</v>
      </c>
      <c r="B32" t="s">
        <v>380</v>
      </c>
      <c r="C32" t="s">
        <v>74</v>
      </c>
      <c r="D32" t="s">
        <v>74</v>
      </c>
      <c r="E32" t="s">
        <v>74</v>
      </c>
      <c r="F32" t="s">
        <v>381</v>
      </c>
      <c r="G32" t="s">
        <v>74</v>
      </c>
      <c r="H32" t="s">
        <v>74</v>
      </c>
      <c r="I32" t="s">
        <v>382</v>
      </c>
      <c r="J32" t="s">
        <v>236</v>
      </c>
      <c r="K32" t="s">
        <v>74</v>
      </c>
      <c r="L32" t="s">
        <v>74</v>
      </c>
      <c r="M32" t="s">
        <v>74</v>
      </c>
      <c r="N32" t="s">
        <v>74</v>
      </c>
      <c r="O32" t="s">
        <v>74</v>
      </c>
      <c r="P32" t="s">
        <v>74</v>
      </c>
      <c r="Q32" t="s">
        <v>74</v>
      </c>
      <c r="R32" t="s">
        <v>74</v>
      </c>
      <c r="S32" t="s">
        <v>74</v>
      </c>
      <c r="T32" t="s">
        <v>74</v>
      </c>
      <c r="U32" t="s">
        <v>74</v>
      </c>
      <c r="V32" t="s">
        <v>383</v>
      </c>
      <c r="W32" t="s">
        <v>74</v>
      </c>
      <c r="X32" t="s">
        <v>74</v>
      </c>
      <c r="Y32" t="s">
        <v>74</v>
      </c>
      <c r="Z32" t="s">
        <v>74</v>
      </c>
      <c r="AA32" t="s">
        <v>384</v>
      </c>
      <c r="AB32" t="s">
        <v>385</v>
      </c>
      <c r="AC32" t="s">
        <v>74</v>
      </c>
      <c r="AD32" t="s">
        <v>74</v>
      </c>
      <c r="AE32" t="s">
        <v>74</v>
      </c>
      <c r="AF32" t="s">
        <v>74</v>
      </c>
      <c r="AG32" t="s">
        <v>74</v>
      </c>
      <c r="AH32" t="s">
        <v>74</v>
      </c>
      <c r="AI32" t="s">
        <v>74</v>
      </c>
      <c r="AJ32" t="s">
        <v>74</v>
      </c>
      <c r="AK32" t="s">
        <v>74</v>
      </c>
      <c r="AL32" t="s">
        <v>74</v>
      </c>
      <c r="AM32" t="s">
        <v>74</v>
      </c>
      <c r="AN32" t="s">
        <v>74</v>
      </c>
      <c r="AO32" t="s">
        <v>74</v>
      </c>
      <c r="AP32" t="s">
        <v>240</v>
      </c>
      <c r="AQ32" t="s">
        <v>74</v>
      </c>
      <c r="AR32" t="s">
        <v>74</v>
      </c>
      <c r="AS32" t="s">
        <v>74</v>
      </c>
      <c r="AT32" t="s">
        <v>386</v>
      </c>
      <c r="AU32">
        <v>2025</v>
      </c>
      <c r="AV32">
        <v>12</v>
      </c>
      <c r="AW32">
        <v>1</v>
      </c>
      <c r="AX32" t="s">
        <v>74</v>
      </c>
      <c r="AY32" t="s">
        <v>74</v>
      </c>
      <c r="AZ32" t="s">
        <v>74</v>
      </c>
      <c r="BA32" t="s">
        <v>74</v>
      </c>
      <c r="BB32" t="s">
        <v>74</v>
      </c>
      <c r="BC32" t="s">
        <v>74</v>
      </c>
      <c r="BD32">
        <v>70</v>
      </c>
      <c r="BE32" t="s">
        <v>387</v>
      </c>
      <c r="BF32" t="str">
        <f>HYPERLINK("http://dx.doi.org/10.1186/s40643-025-00897-2","http://dx.doi.org/10.1186/s40643-025-00897-2")</f>
        <v>http://dx.doi.org/10.1186/s40643-025-00897-2</v>
      </c>
      <c r="BG32" t="s">
        <v>74</v>
      </c>
      <c r="BH32" t="s">
        <v>74</v>
      </c>
      <c r="BI32" t="s">
        <v>74</v>
      </c>
      <c r="BJ32" t="s">
        <v>74</v>
      </c>
      <c r="BK32" t="s">
        <v>74</v>
      </c>
      <c r="BL32" t="s">
        <v>74</v>
      </c>
      <c r="BM32" t="s">
        <v>74</v>
      </c>
      <c r="BN32">
        <v>40613951</v>
      </c>
      <c r="BO32" t="s">
        <v>74</v>
      </c>
      <c r="BP32" t="s">
        <v>74</v>
      </c>
      <c r="BQ32" t="s">
        <v>74</v>
      </c>
      <c r="BR32" t="s">
        <v>74</v>
      </c>
      <c r="BS32" t="s">
        <v>388</v>
      </c>
      <c r="BT32" t="str">
        <f>HYPERLINK("https%3A%2F%2Fwww.webofscience.com%2Fwos%2Fwoscc%2Ffull-record%2FWOS:001523058200002","View Full Record in Web of Science")</f>
        <v>View Full Record in Web of Science</v>
      </c>
    </row>
    <row r="33" spans="1:72" x14ac:dyDescent="0.25">
      <c r="A33" t="s">
        <v>72</v>
      </c>
      <c r="B33" t="s">
        <v>389</v>
      </c>
      <c r="C33" t="s">
        <v>74</v>
      </c>
      <c r="D33" t="s">
        <v>74</v>
      </c>
      <c r="E33" t="s">
        <v>74</v>
      </c>
      <c r="F33" t="s">
        <v>390</v>
      </c>
      <c r="G33" t="s">
        <v>74</v>
      </c>
      <c r="H33" t="s">
        <v>74</v>
      </c>
      <c r="I33" t="s">
        <v>391</v>
      </c>
      <c r="J33" t="s">
        <v>392</v>
      </c>
      <c r="K33" t="s">
        <v>74</v>
      </c>
      <c r="L33" t="s">
        <v>74</v>
      </c>
      <c r="M33" t="s">
        <v>74</v>
      </c>
      <c r="N33" t="s">
        <v>74</v>
      </c>
      <c r="O33" t="s">
        <v>74</v>
      </c>
      <c r="P33" t="s">
        <v>74</v>
      </c>
      <c r="Q33" t="s">
        <v>74</v>
      </c>
      <c r="R33" t="s">
        <v>74</v>
      </c>
      <c r="S33" t="s">
        <v>74</v>
      </c>
      <c r="T33" t="s">
        <v>74</v>
      </c>
      <c r="U33" t="s">
        <v>74</v>
      </c>
      <c r="V33" t="s">
        <v>393</v>
      </c>
      <c r="W33" t="s">
        <v>74</v>
      </c>
      <c r="X33" t="s">
        <v>74</v>
      </c>
      <c r="Y33" t="s">
        <v>74</v>
      </c>
      <c r="Z33" t="s">
        <v>74</v>
      </c>
      <c r="AA33" t="s">
        <v>394</v>
      </c>
      <c r="AB33" t="s">
        <v>74</v>
      </c>
      <c r="AC33" t="s">
        <v>74</v>
      </c>
      <c r="AD33" t="s">
        <v>74</v>
      </c>
      <c r="AE33" t="s">
        <v>74</v>
      </c>
      <c r="AF33" t="s">
        <v>74</v>
      </c>
      <c r="AG33" t="s">
        <v>74</v>
      </c>
      <c r="AH33" t="s">
        <v>74</v>
      </c>
      <c r="AI33" t="s">
        <v>74</v>
      </c>
      <c r="AJ33" t="s">
        <v>74</v>
      </c>
      <c r="AK33" t="s">
        <v>74</v>
      </c>
      <c r="AL33" t="s">
        <v>74</v>
      </c>
      <c r="AM33" t="s">
        <v>74</v>
      </c>
      <c r="AN33" t="s">
        <v>74</v>
      </c>
      <c r="AO33" t="s">
        <v>395</v>
      </c>
      <c r="AP33" t="s">
        <v>396</v>
      </c>
      <c r="AQ33" t="s">
        <v>74</v>
      </c>
      <c r="AR33" t="s">
        <v>74</v>
      </c>
      <c r="AS33" t="s">
        <v>74</v>
      </c>
      <c r="AT33" t="s">
        <v>229</v>
      </c>
      <c r="AU33">
        <v>2025</v>
      </c>
      <c r="AV33">
        <v>35</v>
      </c>
      <c r="AW33">
        <v>1</v>
      </c>
      <c r="AX33" t="s">
        <v>74</v>
      </c>
      <c r="AY33" t="s">
        <v>74</v>
      </c>
      <c r="AZ33" t="s">
        <v>139</v>
      </c>
      <c r="BA33" t="s">
        <v>74</v>
      </c>
      <c r="BB33" t="s">
        <v>74</v>
      </c>
      <c r="BC33" t="s">
        <v>74</v>
      </c>
      <c r="BD33" t="s">
        <v>397</v>
      </c>
      <c r="BE33" t="s">
        <v>398</v>
      </c>
      <c r="BF33" t="str">
        <f>HYPERLINK("http://dx.doi.org/10.1002/tqem.70138","http://dx.doi.org/10.1002/tqem.70138")</f>
        <v>http://dx.doi.org/10.1002/tqem.70138</v>
      </c>
      <c r="BG33" t="s">
        <v>74</v>
      </c>
      <c r="BH33" t="s">
        <v>74</v>
      </c>
      <c r="BI33" t="s">
        <v>74</v>
      </c>
      <c r="BJ33" t="s">
        <v>74</v>
      </c>
      <c r="BK33" t="s">
        <v>74</v>
      </c>
      <c r="BL33" t="s">
        <v>74</v>
      </c>
      <c r="BM33" t="s">
        <v>74</v>
      </c>
      <c r="BN33" t="s">
        <v>74</v>
      </c>
      <c r="BO33" t="s">
        <v>74</v>
      </c>
      <c r="BP33" t="s">
        <v>74</v>
      </c>
      <c r="BQ33" t="s">
        <v>74</v>
      </c>
      <c r="BR33" t="s">
        <v>74</v>
      </c>
      <c r="BS33" t="s">
        <v>399</v>
      </c>
      <c r="BT33" t="str">
        <f>HYPERLINK("https%3A%2F%2Fwww.webofscience.com%2Fwos%2Fwoscc%2Ffull-record%2FWOS:001572687300003","View Full Record in Web of Science")</f>
        <v>View Full Record in Web of Science</v>
      </c>
    </row>
    <row r="34" spans="1:72" x14ac:dyDescent="0.25">
      <c r="A34" t="s">
        <v>72</v>
      </c>
      <c r="B34" t="s">
        <v>400</v>
      </c>
      <c r="C34" t="s">
        <v>74</v>
      </c>
      <c r="D34" t="s">
        <v>74</v>
      </c>
      <c r="E34" t="s">
        <v>74</v>
      </c>
      <c r="F34" t="s">
        <v>401</v>
      </c>
      <c r="G34" t="s">
        <v>74</v>
      </c>
      <c r="H34" t="s">
        <v>74</v>
      </c>
      <c r="I34" t="s">
        <v>402</v>
      </c>
      <c r="J34" t="s">
        <v>403</v>
      </c>
      <c r="K34" t="s">
        <v>74</v>
      </c>
      <c r="L34" t="s">
        <v>74</v>
      </c>
      <c r="M34" t="s">
        <v>74</v>
      </c>
      <c r="N34" t="s">
        <v>74</v>
      </c>
      <c r="O34" t="s">
        <v>74</v>
      </c>
      <c r="P34" t="s">
        <v>74</v>
      </c>
      <c r="Q34" t="s">
        <v>74</v>
      </c>
      <c r="R34" t="s">
        <v>74</v>
      </c>
      <c r="S34" t="s">
        <v>74</v>
      </c>
      <c r="T34" t="s">
        <v>74</v>
      </c>
      <c r="U34" t="s">
        <v>74</v>
      </c>
      <c r="V34" t="s">
        <v>404</v>
      </c>
      <c r="W34" t="s">
        <v>74</v>
      </c>
      <c r="X34" t="s">
        <v>74</v>
      </c>
      <c r="Y34" t="s">
        <v>74</v>
      </c>
      <c r="Z34" t="s">
        <v>74</v>
      </c>
      <c r="AA34" t="s">
        <v>405</v>
      </c>
      <c r="AB34" t="s">
        <v>406</v>
      </c>
      <c r="AC34" t="s">
        <v>74</v>
      </c>
      <c r="AD34" t="s">
        <v>74</v>
      </c>
      <c r="AE34" t="s">
        <v>74</v>
      </c>
      <c r="AF34" t="s">
        <v>74</v>
      </c>
      <c r="AG34" t="s">
        <v>74</v>
      </c>
      <c r="AH34" t="s">
        <v>74</v>
      </c>
      <c r="AI34" t="s">
        <v>74</v>
      </c>
      <c r="AJ34" t="s">
        <v>74</v>
      </c>
      <c r="AK34" t="s">
        <v>74</v>
      </c>
      <c r="AL34" t="s">
        <v>74</v>
      </c>
      <c r="AM34" t="s">
        <v>74</v>
      </c>
      <c r="AN34" t="s">
        <v>74</v>
      </c>
      <c r="AO34" t="s">
        <v>407</v>
      </c>
      <c r="AP34" t="s">
        <v>74</v>
      </c>
      <c r="AQ34" t="s">
        <v>74</v>
      </c>
      <c r="AR34" t="s">
        <v>74</v>
      </c>
      <c r="AS34" t="s">
        <v>74</v>
      </c>
      <c r="AT34" t="s">
        <v>105</v>
      </c>
      <c r="AU34">
        <v>2025</v>
      </c>
      <c r="AV34">
        <v>10</v>
      </c>
      <c r="AW34">
        <v>20</v>
      </c>
      <c r="AX34" t="s">
        <v>74</v>
      </c>
      <c r="AY34" t="s">
        <v>74</v>
      </c>
      <c r="AZ34" t="s">
        <v>74</v>
      </c>
      <c r="BA34" t="s">
        <v>74</v>
      </c>
      <c r="BB34" t="s">
        <v>74</v>
      </c>
      <c r="BC34" t="s">
        <v>74</v>
      </c>
      <c r="BD34" t="s">
        <v>408</v>
      </c>
      <c r="BE34" t="s">
        <v>409</v>
      </c>
      <c r="BF34" t="str">
        <f>HYPERLINK("http://dx.doi.org/10.1002/slct.202501241","http://dx.doi.org/10.1002/slct.202501241")</f>
        <v>http://dx.doi.org/10.1002/slct.202501241</v>
      </c>
      <c r="BG34" t="s">
        <v>74</v>
      </c>
      <c r="BH34" t="s">
        <v>74</v>
      </c>
      <c r="BI34" t="s">
        <v>74</v>
      </c>
      <c r="BJ34" t="s">
        <v>74</v>
      </c>
      <c r="BK34" t="s">
        <v>74</v>
      </c>
      <c r="BL34" t="s">
        <v>74</v>
      </c>
      <c r="BM34" t="s">
        <v>74</v>
      </c>
      <c r="BN34" t="s">
        <v>74</v>
      </c>
      <c r="BO34" t="s">
        <v>74</v>
      </c>
      <c r="BP34" t="s">
        <v>74</v>
      </c>
      <c r="BQ34" t="s">
        <v>74</v>
      </c>
      <c r="BR34" t="s">
        <v>74</v>
      </c>
      <c r="BS34" t="s">
        <v>410</v>
      </c>
      <c r="BT34" t="str">
        <f>HYPERLINK("https%3A%2F%2Fwww.webofscience.com%2Fwos%2Fwoscc%2Ffull-record%2FWOS:001501875400001","View Full Record in Web of Science")</f>
        <v>View Full Record in Web of Science</v>
      </c>
    </row>
    <row r="35" spans="1:72" x14ac:dyDescent="0.25">
      <c r="A35" t="s">
        <v>72</v>
      </c>
      <c r="B35" t="s">
        <v>411</v>
      </c>
      <c r="C35" t="s">
        <v>74</v>
      </c>
      <c r="D35" t="s">
        <v>74</v>
      </c>
      <c r="E35" t="s">
        <v>74</v>
      </c>
      <c r="F35" t="s">
        <v>412</v>
      </c>
      <c r="G35" t="s">
        <v>74</v>
      </c>
      <c r="H35" t="s">
        <v>74</v>
      </c>
      <c r="I35" t="s">
        <v>413</v>
      </c>
      <c r="J35" t="s">
        <v>414</v>
      </c>
      <c r="K35" t="s">
        <v>74</v>
      </c>
      <c r="L35" t="s">
        <v>74</v>
      </c>
      <c r="M35" t="s">
        <v>74</v>
      </c>
      <c r="N35" t="s">
        <v>74</v>
      </c>
      <c r="O35" t="s">
        <v>74</v>
      </c>
      <c r="P35" t="s">
        <v>74</v>
      </c>
      <c r="Q35" t="s">
        <v>74</v>
      </c>
      <c r="R35" t="s">
        <v>74</v>
      </c>
      <c r="S35" t="s">
        <v>74</v>
      </c>
      <c r="T35" t="s">
        <v>74</v>
      </c>
      <c r="U35" t="s">
        <v>74</v>
      </c>
      <c r="V35" t="s">
        <v>415</v>
      </c>
      <c r="W35" t="s">
        <v>74</v>
      </c>
      <c r="X35" t="s">
        <v>74</v>
      </c>
      <c r="Y35" t="s">
        <v>74</v>
      </c>
      <c r="Z35" t="s">
        <v>74</v>
      </c>
      <c r="AA35" t="s">
        <v>74</v>
      </c>
      <c r="AB35" t="s">
        <v>74</v>
      </c>
      <c r="AC35" t="s">
        <v>74</v>
      </c>
      <c r="AD35" t="s">
        <v>74</v>
      </c>
      <c r="AE35" t="s">
        <v>74</v>
      </c>
      <c r="AF35" t="s">
        <v>74</v>
      </c>
      <c r="AG35" t="s">
        <v>74</v>
      </c>
      <c r="AH35" t="s">
        <v>74</v>
      </c>
      <c r="AI35" t="s">
        <v>74</v>
      </c>
      <c r="AJ35" t="s">
        <v>74</v>
      </c>
      <c r="AK35" t="s">
        <v>74</v>
      </c>
      <c r="AL35" t="s">
        <v>74</v>
      </c>
      <c r="AM35" t="s">
        <v>74</v>
      </c>
      <c r="AN35" t="s">
        <v>74</v>
      </c>
      <c r="AO35" t="s">
        <v>74</v>
      </c>
      <c r="AP35" t="s">
        <v>416</v>
      </c>
      <c r="AQ35" t="s">
        <v>74</v>
      </c>
      <c r="AR35" t="s">
        <v>74</v>
      </c>
      <c r="AS35" t="s">
        <v>74</v>
      </c>
      <c r="AT35" t="s">
        <v>417</v>
      </c>
      <c r="AU35">
        <v>2025</v>
      </c>
      <c r="AV35">
        <v>6</v>
      </c>
      <c r="AW35">
        <v>1</v>
      </c>
      <c r="AX35" t="s">
        <v>74</v>
      </c>
      <c r="AY35" t="s">
        <v>74</v>
      </c>
      <c r="AZ35" t="s">
        <v>74</v>
      </c>
      <c r="BA35" t="s">
        <v>74</v>
      </c>
      <c r="BB35" t="s">
        <v>74</v>
      </c>
      <c r="BC35" t="s">
        <v>74</v>
      </c>
      <c r="BD35">
        <v>1083</v>
      </c>
      <c r="BE35" t="s">
        <v>418</v>
      </c>
      <c r="BF35" t="str">
        <f>HYPERLINK("http://dx.doi.org/10.1007/s43621-025-01972-6","http://dx.doi.org/10.1007/s43621-025-01972-6")</f>
        <v>http://dx.doi.org/10.1007/s43621-025-01972-6</v>
      </c>
      <c r="BG35" t="s">
        <v>74</v>
      </c>
      <c r="BH35" t="s">
        <v>74</v>
      </c>
      <c r="BI35" t="s">
        <v>74</v>
      </c>
      <c r="BJ35" t="s">
        <v>74</v>
      </c>
      <c r="BK35" t="s">
        <v>74</v>
      </c>
      <c r="BL35" t="s">
        <v>74</v>
      </c>
      <c r="BM35" t="s">
        <v>74</v>
      </c>
      <c r="BN35" t="s">
        <v>74</v>
      </c>
      <c r="BO35" t="s">
        <v>74</v>
      </c>
      <c r="BP35" t="s">
        <v>74</v>
      </c>
      <c r="BQ35" t="s">
        <v>74</v>
      </c>
      <c r="BR35" t="s">
        <v>74</v>
      </c>
      <c r="BS35" t="s">
        <v>419</v>
      </c>
      <c r="BT35" t="str">
        <f>HYPERLINK("https%3A%2F%2Fwww.webofscience.com%2Fwos%2Fwoscc%2Ffull-record%2FWOS:001594387100006","View Full Record in Web of Science")</f>
        <v>View Full Record in Web of Science</v>
      </c>
    </row>
    <row r="36" spans="1:72" x14ac:dyDescent="0.25">
      <c r="A36" t="s">
        <v>72</v>
      </c>
      <c r="B36" t="s">
        <v>420</v>
      </c>
      <c r="C36" t="s">
        <v>74</v>
      </c>
      <c r="D36" t="s">
        <v>74</v>
      </c>
      <c r="E36" t="s">
        <v>74</v>
      </c>
      <c r="F36" t="s">
        <v>421</v>
      </c>
      <c r="G36" t="s">
        <v>74</v>
      </c>
      <c r="H36" t="s">
        <v>74</v>
      </c>
      <c r="I36" t="s">
        <v>422</v>
      </c>
      <c r="J36" t="s">
        <v>423</v>
      </c>
      <c r="K36" t="s">
        <v>74</v>
      </c>
      <c r="L36" t="s">
        <v>74</v>
      </c>
      <c r="M36" t="s">
        <v>74</v>
      </c>
      <c r="N36" t="s">
        <v>74</v>
      </c>
      <c r="O36" t="s">
        <v>74</v>
      </c>
      <c r="P36" t="s">
        <v>74</v>
      </c>
      <c r="Q36" t="s">
        <v>74</v>
      </c>
      <c r="R36" t="s">
        <v>74</v>
      </c>
      <c r="S36" t="s">
        <v>74</v>
      </c>
      <c r="T36" t="s">
        <v>74</v>
      </c>
      <c r="U36" t="s">
        <v>74</v>
      </c>
      <c r="V36" t="s">
        <v>424</v>
      </c>
      <c r="W36" t="s">
        <v>74</v>
      </c>
      <c r="X36" t="s">
        <v>74</v>
      </c>
      <c r="Y36" t="s">
        <v>74</v>
      </c>
      <c r="Z36" t="s">
        <v>74</v>
      </c>
      <c r="AA36" t="s">
        <v>74</v>
      </c>
      <c r="AB36" t="s">
        <v>425</v>
      </c>
      <c r="AC36" t="s">
        <v>74</v>
      </c>
      <c r="AD36" t="s">
        <v>74</v>
      </c>
      <c r="AE36" t="s">
        <v>74</v>
      </c>
      <c r="AF36" t="s">
        <v>74</v>
      </c>
      <c r="AG36" t="s">
        <v>74</v>
      </c>
      <c r="AH36" t="s">
        <v>74</v>
      </c>
      <c r="AI36" t="s">
        <v>74</v>
      </c>
      <c r="AJ36" t="s">
        <v>74</v>
      </c>
      <c r="AK36" t="s">
        <v>74</v>
      </c>
      <c r="AL36" t="s">
        <v>74</v>
      </c>
      <c r="AM36" t="s">
        <v>74</v>
      </c>
      <c r="AN36" t="s">
        <v>74</v>
      </c>
      <c r="AO36" t="s">
        <v>74</v>
      </c>
      <c r="AP36" t="s">
        <v>426</v>
      </c>
      <c r="AQ36" t="s">
        <v>74</v>
      </c>
      <c r="AR36" t="s">
        <v>74</v>
      </c>
      <c r="AS36" t="s">
        <v>74</v>
      </c>
      <c r="AT36" t="s">
        <v>427</v>
      </c>
      <c r="AU36">
        <v>2025</v>
      </c>
      <c r="AV36">
        <v>6</v>
      </c>
      <c r="AW36" t="s">
        <v>74</v>
      </c>
      <c r="AX36" t="s">
        <v>74</v>
      </c>
      <c r="AY36" t="s">
        <v>74</v>
      </c>
      <c r="AZ36" t="s">
        <v>74</v>
      </c>
      <c r="BA36" t="s">
        <v>74</v>
      </c>
      <c r="BB36" t="s">
        <v>74</v>
      </c>
      <c r="BC36" t="s">
        <v>74</v>
      </c>
      <c r="BD36">
        <v>1572665</v>
      </c>
      <c r="BE36" t="s">
        <v>428</v>
      </c>
      <c r="BF36" t="str">
        <f>HYPERLINK("http://dx.doi.org/10.3389/froh.2025.1572665","http://dx.doi.org/10.3389/froh.2025.1572665")</f>
        <v>http://dx.doi.org/10.3389/froh.2025.1572665</v>
      </c>
      <c r="BG36" t="s">
        <v>74</v>
      </c>
      <c r="BH36" t="s">
        <v>74</v>
      </c>
      <c r="BI36" t="s">
        <v>74</v>
      </c>
      <c r="BJ36" t="s">
        <v>74</v>
      </c>
      <c r="BK36" t="s">
        <v>74</v>
      </c>
      <c r="BL36" t="s">
        <v>74</v>
      </c>
      <c r="BM36" t="s">
        <v>74</v>
      </c>
      <c r="BN36">
        <v>40630076</v>
      </c>
      <c r="BO36" t="s">
        <v>74</v>
      </c>
      <c r="BP36" t="s">
        <v>74</v>
      </c>
      <c r="BQ36" t="s">
        <v>74</v>
      </c>
      <c r="BR36" t="s">
        <v>74</v>
      </c>
      <c r="BS36" t="s">
        <v>429</v>
      </c>
      <c r="BT36" t="str">
        <f>HYPERLINK("https%3A%2F%2Fwww.webofscience.com%2Fwos%2Fwoscc%2Ffull-record%2FWOS:001523791800001","View Full Record in Web of Science")</f>
        <v>View Full Record in Web of Science</v>
      </c>
    </row>
    <row r="37" spans="1:72" x14ac:dyDescent="0.25">
      <c r="A37" t="s">
        <v>72</v>
      </c>
      <c r="B37" t="s">
        <v>430</v>
      </c>
      <c r="C37" t="s">
        <v>74</v>
      </c>
      <c r="D37" t="s">
        <v>74</v>
      </c>
      <c r="E37" t="s">
        <v>74</v>
      </c>
      <c r="F37" t="s">
        <v>431</v>
      </c>
      <c r="G37" t="s">
        <v>74</v>
      </c>
      <c r="H37" t="s">
        <v>74</v>
      </c>
      <c r="I37" t="s">
        <v>432</v>
      </c>
      <c r="J37" t="s">
        <v>433</v>
      </c>
      <c r="K37" t="s">
        <v>74</v>
      </c>
      <c r="L37" t="s">
        <v>74</v>
      </c>
      <c r="M37" t="s">
        <v>74</v>
      </c>
      <c r="N37" t="s">
        <v>74</v>
      </c>
      <c r="O37" t="s">
        <v>74</v>
      </c>
      <c r="P37" t="s">
        <v>74</v>
      </c>
      <c r="Q37" t="s">
        <v>74</v>
      </c>
      <c r="R37" t="s">
        <v>74</v>
      </c>
      <c r="S37" t="s">
        <v>74</v>
      </c>
      <c r="T37" t="s">
        <v>74</v>
      </c>
      <c r="U37" t="s">
        <v>74</v>
      </c>
      <c r="V37" t="s">
        <v>434</v>
      </c>
      <c r="W37" t="s">
        <v>74</v>
      </c>
      <c r="X37" t="s">
        <v>74</v>
      </c>
      <c r="Y37" t="s">
        <v>74</v>
      </c>
      <c r="Z37" t="s">
        <v>74</v>
      </c>
      <c r="AA37" t="s">
        <v>435</v>
      </c>
      <c r="AB37" t="s">
        <v>74</v>
      </c>
      <c r="AC37" t="s">
        <v>74</v>
      </c>
      <c r="AD37" t="s">
        <v>74</v>
      </c>
      <c r="AE37" t="s">
        <v>74</v>
      </c>
      <c r="AF37" t="s">
        <v>74</v>
      </c>
      <c r="AG37" t="s">
        <v>74</v>
      </c>
      <c r="AH37" t="s">
        <v>74</v>
      </c>
      <c r="AI37" t="s">
        <v>74</v>
      </c>
      <c r="AJ37" t="s">
        <v>74</v>
      </c>
      <c r="AK37" t="s">
        <v>74</v>
      </c>
      <c r="AL37" t="s">
        <v>74</v>
      </c>
      <c r="AM37" t="s">
        <v>74</v>
      </c>
      <c r="AN37" t="s">
        <v>74</v>
      </c>
      <c r="AO37" t="s">
        <v>436</v>
      </c>
      <c r="AP37" t="s">
        <v>437</v>
      </c>
      <c r="AQ37" t="s">
        <v>74</v>
      </c>
      <c r="AR37" t="s">
        <v>74</v>
      </c>
      <c r="AS37" t="s">
        <v>74</v>
      </c>
      <c r="AT37" t="s">
        <v>438</v>
      </c>
      <c r="AU37">
        <v>2025</v>
      </c>
      <c r="AV37">
        <v>82</v>
      </c>
      <c r="AW37">
        <v>10</v>
      </c>
      <c r="AX37" t="s">
        <v>74</v>
      </c>
      <c r="AY37" t="s">
        <v>74</v>
      </c>
      <c r="AZ37" t="s">
        <v>74</v>
      </c>
      <c r="BA37" t="s">
        <v>74</v>
      </c>
      <c r="BB37">
        <v>4239</v>
      </c>
      <c r="BC37">
        <v>4256</v>
      </c>
      <c r="BD37" t="s">
        <v>74</v>
      </c>
      <c r="BE37" t="s">
        <v>439</v>
      </c>
      <c r="BF37" t="str">
        <f>HYPERLINK("http://dx.doi.org/10.1007/s00289-025-05713-7","http://dx.doi.org/10.1007/s00289-025-05713-7")</f>
        <v>http://dx.doi.org/10.1007/s00289-025-05713-7</v>
      </c>
      <c r="BG37" t="s">
        <v>74</v>
      </c>
      <c r="BH37" t="s">
        <v>85</v>
      </c>
      <c r="BI37" t="s">
        <v>74</v>
      </c>
      <c r="BJ37" t="s">
        <v>74</v>
      </c>
      <c r="BK37" t="s">
        <v>74</v>
      </c>
      <c r="BL37" t="s">
        <v>74</v>
      </c>
      <c r="BM37" t="s">
        <v>74</v>
      </c>
      <c r="BN37" t="s">
        <v>74</v>
      </c>
      <c r="BO37" t="s">
        <v>74</v>
      </c>
      <c r="BP37" t="s">
        <v>74</v>
      </c>
      <c r="BQ37" t="s">
        <v>74</v>
      </c>
      <c r="BR37" t="s">
        <v>74</v>
      </c>
      <c r="BS37" t="s">
        <v>440</v>
      </c>
      <c r="BT37" t="str">
        <f>HYPERLINK("https%3A%2F%2Fwww.webofscience.com%2Fwos%2Fwoscc%2Ffull-record%2FWOS:001446083000001","View Full Record in Web of Science")</f>
        <v>View Full Record in Web of Science</v>
      </c>
    </row>
    <row r="38" spans="1:72" x14ac:dyDescent="0.25">
      <c r="A38" t="s">
        <v>72</v>
      </c>
      <c r="B38" t="s">
        <v>441</v>
      </c>
      <c r="C38" t="s">
        <v>74</v>
      </c>
      <c r="D38" t="s">
        <v>74</v>
      </c>
      <c r="E38" t="s">
        <v>74</v>
      </c>
      <c r="F38" t="s">
        <v>442</v>
      </c>
      <c r="G38" t="s">
        <v>74</v>
      </c>
      <c r="H38" t="s">
        <v>74</v>
      </c>
      <c r="I38" t="s">
        <v>443</v>
      </c>
      <c r="J38" t="s">
        <v>444</v>
      </c>
      <c r="K38" t="s">
        <v>74</v>
      </c>
      <c r="L38" t="s">
        <v>74</v>
      </c>
      <c r="M38" t="s">
        <v>74</v>
      </c>
      <c r="N38" t="s">
        <v>74</v>
      </c>
      <c r="O38" t="s">
        <v>74</v>
      </c>
      <c r="P38" t="s">
        <v>74</v>
      </c>
      <c r="Q38" t="s">
        <v>74</v>
      </c>
      <c r="R38" t="s">
        <v>74</v>
      </c>
      <c r="S38" t="s">
        <v>74</v>
      </c>
      <c r="T38" t="s">
        <v>74</v>
      </c>
      <c r="U38" t="s">
        <v>74</v>
      </c>
      <c r="V38" t="s">
        <v>445</v>
      </c>
      <c r="W38" t="s">
        <v>74</v>
      </c>
      <c r="X38" t="s">
        <v>74</v>
      </c>
      <c r="Y38" t="s">
        <v>74</v>
      </c>
      <c r="Z38" t="s">
        <v>74</v>
      </c>
      <c r="AA38" t="s">
        <v>446</v>
      </c>
      <c r="AB38" t="s">
        <v>74</v>
      </c>
      <c r="AC38" t="s">
        <v>74</v>
      </c>
      <c r="AD38" t="s">
        <v>74</v>
      </c>
      <c r="AE38" t="s">
        <v>74</v>
      </c>
      <c r="AF38" t="s">
        <v>74</v>
      </c>
      <c r="AG38" t="s">
        <v>74</v>
      </c>
      <c r="AH38" t="s">
        <v>74</v>
      </c>
      <c r="AI38" t="s">
        <v>74</v>
      </c>
      <c r="AJ38" t="s">
        <v>74</v>
      </c>
      <c r="AK38" t="s">
        <v>74</v>
      </c>
      <c r="AL38" t="s">
        <v>74</v>
      </c>
      <c r="AM38" t="s">
        <v>74</v>
      </c>
      <c r="AN38" t="s">
        <v>74</v>
      </c>
      <c r="AO38" t="s">
        <v>447</v>
      </c>
      <c r="AP38" t="s">
        <v>448</v>
      </c>
      <c r="AQ38" t="s">
        <v>74</v>
      </c>
      <c r="AR38" t="s">
        <v>74</v>
      </c>
      <c r="AS38" t="s">
        <v>74</v>
      </c>
      <c r="AT38" t="s">
        <v>449</v>
      </c>
      <c r="AU38">
        <v>2025</v>
      </c>
      <c r="AV38">
        <v>25</v>
      </c>
      <c r="AW38">
        <v>4</v>
      </c>
      <c r="AX38" t="s">
        <v>74</v>
      </c>
      <c r="AY38" t="s">
        <v>74</v>
      </c>
      <c r="AZ38" t="s">
        <v>74</v>
      </c>
      <c r="BA38" t="s">
        <v>74</v>
      </c>
      <c r="BB38" t="s">
        <v>74</v>
      </c>
      <c r="BC38" t="s">
        <v>74</v>
      </c>
      <c r="BD38">
        <v>102191</v>
      </c>
      <c r="BE38" t="s">
        <v>450</v>
      </c>
      <c r="BF38" t="str">
        <f>HYPERLINK("http://dx.doi.org/10.1016/j.jebdp.2025.102191","http://dx.doi.org/10.1016/j.jebdp.2025.102191")</f>
        <v>http://dx.doi.org/10.1016/j.jebdp.2025.102191</v>
      </c>
      <c r="BG38" t="s">
        <v>74</v>
      </c>
      <c r="BH38" t="s">
        <v>74</v>
      </c>
      <c r="BI38" t="s">
        <v>74</v>
      </c>
      <c r="BJ38" t="s">
        <v>74</v>
      </c>
      <c r="BK38" t="s">
        <v>74</v>
      </c>
      <c r="BL38" t="s">
        <v>74</v>
      </c>
      <c r="BM38" t="s">
        <v>74</v>
      </c>
      <c r="BN38" t="s">
        <v>74</v>
      </c>
      <c r="BO38" t="s">
        <v>74</v>
      </c>
      <c r="BP38" t="s">
        <v>74</v>
      </c>
      <c r="BQ38" t="s">
        <v>74</v>
      </c>
      <c r="BR38" t="s">
        <v>74</v>
      </c>
      <c r="BS38" t="s">
        <v>451</v>
      </c>
      <c r="BT38" t="str">
        <f>HYPERLINK("https%3A%2F%2Fwww.webofscience.com%2Fwos%2Fwoscc%2Ffull-record%2FWOS:001592877500001","View Full Record in Web of Science")</f>
        <v>View Full Record in Web of Science</v>
      </c>
    </row>
    <row r="39" spans="1:72" x14ac:dyDescent="0.25">
      <c r="A39" t="s">
        <v>72</v>
      </c>
      <c r="B39" t="s">
        <v>452</v>
      </c>
      <c r="C39" t="s">
        <v>74</v>
      </c>
      <c r="D39" t="s">
        <v>74</v>
      </c>
      <c r="E39" t="s">
        <v>74</v>
      </c>
      <c r="F39" t="s">
        <v>453</v>
      </c>
      <c r="G39" t="s">
        <v>74</v>
      </c>
      <c r="H39" t="s">
        <v>74</v>
      </c>
      <c r="I39" t="s">
        <v>454</v>
      </c>
      <c r="J39" t="s">
        <v>455</v>
      </c>
      <c r="K39" t="s">
        <v>74</v>
      </c>
      <c r="L39" t="s">
        <v>74</v>
      </c>
      <c r="M39" t="s">
        <v>74</v>
      </c>
      <c r="N39" t="s">
        <v>74</v>
      </c>
      <c r="O39" t="s">
        <v>74</v>
      </c>
      <c r="P39" t="s">
        <v>74</v>
      </c>
      <c r="Q39" t="s">
        <v>74</v>
      </c>
      <c r="R39" t="s">
        <v>74</v>
      </c>
      <c r="S39" t="s">
        <v>74</v>
      </c>
      <c r="T39" t="s">
        <v>74</v>
      </c>
      <c r="U39" t="s">
        <v>74</v>
      </c>
      <c r="V39" t="s">
        <v>456</v>
      </c>
      <c r="W39" t="s">
        <v>74</v>
      </c>
      <c r="X39" t="s">
        <v>74</v>
      </c>
      <c r="Y39" t="s">
        <v>74</v>
      </c>
      <c r="Z39" t="s">
        <v>74</v>
      </c>
      <c r="AA39" t="s">
        <v>457</v>
      </c>
      <c r="AB39" t="s">
        <v>74</v>
      </c>
      <c r="AC39" t="s">
        <v>74</v>
      </c>
      <c r="AD39" t="s">
        <v>74</v>
      </c>
      <c r="AE39" t="s">
        <v>74</v>
      </c>
      <c r="AF39" t="s">
        <v>74</v>
      </c>
      <c r="AG39" t="s">
        <v>74</v>
      </c>
      <c r="AH39" t="s">
        <v>74</v>
      </c>
      <c r="AI39" t="s">
        <v>74</v>
      </c>
      <c r="AJ39" t="s">
        <v>74</v>
      </c>
      <c r="AK39" t="s">
        <v>74</v>
      </c>
      <c r="AL39" t="s">
        <v>74</v>
      </c>
      <c r="AM39" t="s">
        <v>74</v>
      </c>
      <c r="AN39" t="s">
        <v>74</v>
      </c>
      <c r="AO39" t="s">
        <v>458</v>
      </c>
      <c r="AP39" t="s">
        <v>459</v>
      </c>
      <c r="AQ39" t="s">
        <v>74</v>
      </c>
      <c r="AR39" t="s">
        <v>74</v>
      </c>
      <c r="AS39" t="s">
        <v>74</v>
      </c>
      <c r="AT39" t="s">
        <v>460</v>
      </c>
      <c r="AU39">
        <v>2025</v>
      </c>
      <c r="AV39" t="s">
        <v>74</v>
      </c>
      <c r="AW39" t="s">
        <v>74</v>
      </c>
      <c r="AX39" t="s">
        <v>74</v>
      </c>
      <c r="AY39" t="s">
        <v>74</v>
      </c>
      <c r="AZ39" t="s">
        <v>74</v>
      </c>
      <c r="BA39" t="s">
        <v>74</v>
      </c>
      <c r="BB39" t="s">
        <v>74</v>
      </c>
      <c r="BC39" t="s">
        <v>74</v>
      </c>
      <c r="BD39" t="s">
        <v>74</v>
      </c>
      <c r="BE39" t="s">
        <v>461</v>
      </c>
      <c r="BF39" t="str">
        <f>HYPERLINK("http://dx.doi.org/10.1007/s42161-025-02003-z","http://dx.doi.org/10.1007/s42161-025-02003-z")</f>
        <v>http://dx.doi.org/10.1007/s42161-025-02003-z</v>
      </c>
      <c r="BG39" t="s">
        <v>74</v>
      </c>
      <c r="BH39" t="s">
        <v>462</v>
      </c>
      <c r="BI39" t="s">
        <v>74</v>
      </c>
      <c r="BJ39" t="s">
        <v>74</v>
      </c>
      <c r="BK39" t="s">
        <v>74</v>
      </c>
      <c r="BL39" t="s">
        <v>74</v>
      </c>
      <c r="BM39" t="s">
        <v>74</v>
      </c>
      <c r="BN39" t="s">
        <v>74</v>
      </c>
      <c r="BO39" t="s">
        <v>74</v>
      </c>
      <c r="BP39" t="s">
        <v>74</v>
      </c>
      <c r="BQ39" t="s">
        <v>74</v>
      </c>
      <c r="BR39" t="s">
        <v>74</v>
      </c>
      <c r="BS39" t="s">
        <v>463</v>
      </c>
      <c r="BT39" t="str">
        <f>HYPERLINK("https%3A%2F%2Fwww.webofscience.com%2Fwos%2Fwoscc%2Ffull-record%2FWOS:001556058100001","View Full Record in Web of Science")</f>
        <v>View Full Record in Web of Science</v>
      </c>
    </row>
    <row r="40" spans="1:72" x14ac:dyDescent="0.25">
      <c r="A40" t="s">
        <v>72</v>
      </c>
      <c r="B40" t="s">
        <v>464</v>
      </c>
      <c r="C40" t="s">
        <v>74</v>
      </c>
      <c r="D40" t="s">
        <v>74</v>
      </c>
      <c r="E40" t="s">
        <v>74</v>
      </c>
      <c r="F40" t="s">
        <v>465</v>
      </c>
      <c r="G40" t="s">
        <v>74</v>
      </c>
      <c r="H40" t="s">
        <v>74</v>
      </c>
      <c r="I40" t="s">
        <v>466</v>
      </c>
      <c r="J40" t="s">
        <v>223</v>
      </c>
      <c r="K40" t="s">
        <v>74</v>
      </c>
      <c r="L40" t="s">
        <v>74</v>
      </c>
      <c r="M40" t="s">
        <v>74</v>
      </c>
      <c r="N40" t="s">
        <v>74</v>
      </c>
      <c r="O40" t="s">
        <v>74</v>
      </c>
      <c r="P40" t="s">
        <v>74</v>
      </c>
      <c r="Q40" t="s">
        <v>74</v>
      </c>
      <c r="R40" t="s">
        <v>74</v>
      </c>
      <c r="S40" t="s">
        <v>74</v>
      </c>
      <c r="T40" t="s">
        <v>74</v>
      </c>
      <c r="U40" t="s">
        <v>74</v>
      </c>
      <c r="V40" t="s">
        <v>467</v>
      </c>
      <c r="W40" t="s">
        <v>74</v>
      </c>
      <c r="X40" t="s">
        <v>74</v>
      </c>
      <c r="Y40" t="s">
        <v>74</v>
      </c>
      <c r="Z40" t="s">
        <v>74</v>
      </c>
      <c r="AA40" t="s">
        <v>468</v>
      </c>
      <c r="AB40" t="s">
        <v>74</v>
      </c>
      <c r="AC40" t="s">
        <v>74</v>
      </c>
      <c r="AD40" t="s">
        <v>74</v>
      </c>
      <c r="AE40" t="s">
        <v>74</v>
      </c>
      <c r="AF40" t="s">
        <v>74</v>
      </c>
      <c r="AG40" t="s">
        <v>74</v>
      </c>
      <c r="AH40" t="s">
        <v>74</v>
      </c>
      <c r="AI40" t="s">
        <v>74</v>
      </c>
      <c r="AJ40" t="s">
        <v>74</v>
      </c>
      <c r="AK40" t="s">
        <v>74</v>
      </c>
      <c r="AL40" t="s">
        <v>74</v>
      </c>
      <c r="AM40" t="s">
        <v>74</v>
      </c>
      <c r="AN40" t="s">
        <v>74</v>
      </c>
      <c r="AO40" t="s">
        <v>227</v>
      </c>
      <c r="AP40" t="s">
        <v>228</v>
      </c>
      <c r="AQ40" t="s">
        <v>74</v>
      </c>
      <c r="AR40" t="s">
        <v>74</v>
      </c>
      <c r="AS40" t="s">
        <v>74</v>
      </c>
      <c r="AT40" t="s">
        <v>438</v>
      </c>
      <c r="AU40">
        <v>2025</v>
      </c>
      <c r="AV40">
        <v>318</v>
      </c>
      <c r="AW40" t="s">
        <v>74</v>
      </c>
      <c r="AX40">
        <v>1</v>
      </c>
      <c r="AY40" t="s">
        <v>74</v>
      </c>
      <c r="AZ40" t="s">
        <v>74</v>
      </c>
      <c r="BA40" t="s">
        <v>74</v>
      </c>
      <c r="BB40" t="s">
        <v>74</v>
      </c>
      <c r="BC40" t="s">
        <v>74</v>
      </c>
      <c r="BD40">
        <v>145064</v>
      </c>
      <c r="BE40" t="s">
        <v>469</v>
      </c>
      <c r="BF40" t="str">
        <f>HYPERLINK("http://dx.doi.org/10.1016/j.ijbiomac.2025.145064","http://dx.doi.org/10.1016/j.ijbiomac.2025.145064")</f>
        <v>http://dx.doi.org/10.1016/j.ijbiomac.2025.145064</v>
      </c>
      <c r="BG40" t="s">
        <v>74</v>
      </c>
      <c r="BH40" t="s">
        <v>74</v>
      </c>
      <c r="BI40" t="s">
        <v>74</v>
      </c>
      <c r="BJ40" t="s">
        <v>74</v>
      </c>
      <c r="BK40" t="s">
        <v>74</v>
      </c>
      <c r="BL40" t="s">
        <v>74</v>
      </c>
      <c r="BM40" t="s">
        <v>74</v>
      </c>
      <c r="BN40">
        <v>40484095</v>
      </c>
      <c r="BO40" t="s">
        <v>74</v>
      </c>
      <c r="BP40" t="s">
        <v>74</v>
      </c>
      <c r="BQ40" t="s">
        <v>74</v>
      </c>
      <c r="BR40" t="s">
        <v>74</v>
      </c>
      <c r="BS40" t="s">
        <v>470</v>
      </c>
      <c r="BT40" t="str">
        <f>HYPERLINK("https%3A%2F%2Fwww.webofscience.com%2Fwos%2Fwoscc%2Ffull-record%2FWOS:001511931200001","View Full Record in Web of Science")</f>
        <v>View Full Record in Web of Science</v>
      </c>
    </row>
    <row r="41" spans="1:72" x14ac:dyDescent="0.25">
      <c r="A41" t="s">
        <v>72</v>
      </c>
      <c r="B41" t="s">
        <v>471</v>
      </c>
      <c r="C41" t="s">
        <v>74</v>
      </c>
      <c r="D41" t="s">
        <v>74</v>
      </c>
      <c r="E41" t="s">
        <v>74</v>
      </c>
      <c r="F41" t="s">
        <v>472</v>
      </c>
      <c r="G41" t="s">
        <v>74</v>
      </c>
      <c r="H41" t="s">
        <v>74</v>
      </c>
      <c r="I41" t="s">
        <v>473</v>
      </c>
      <c r="J41" t="s">
        <v>474</v>
      </c>
      <c r="K41" t="s">
        <v>74</v>
      </c>
      <c r="L41" t="s">
        <v>74</v>
      </c>
      <c r="M41" t="s">
        <v>74</v>
      </c>
      <c r="N41" t="s">
        <v>74</v>
      </c>
      <c r="O41" t="s">
        <v>74</v>
      </c>
      <c r="P41" t="s">
        <v>74</v>
      </c>
      <c r="Q41" t="s">
        <v>74</v>
      </c>
      <c r="R41" t="s">
        <v>74</v>
      </c>
      <c r="S41" t="s">
        <v>74</v>
      </c>
      <c r="T41" t="s">
        <v>74</v>
      </c>
      <c r="U41" t="s">
        <v>74</v>
      </c>
      <c r="V41" t="s">
        <v>475</v>
      </c>
      <c r="W41" t="s">
        <v>74</v>
      </c>
      <c r="X41" t="s">
        <v>74</v>
      </c>
      <c r="Y41" t="s">
        <v>74</v>
      </c>
      <c r="Z41" t="s">
        <v>74</v>
      </c>
      <c r="AA41" t="s">
        <v>74</v>
      </c>
      <c r="AB41" t="s">
        <v>74</v>
      </c>
      <c r="AC41" t="s">
        <v>74</v>
      </c>
      <c r="AD41" t="s">
        <v>74</v>
      </c>
      <c r="AE41" t="s">
        <v>74</v>
      </c>
      <c r="AF41" t="s">
        <v>74</v>
      </c>
      <c r="AG41" t="s">
        <v>74</v>
      </c>
      <c r="AH41" t="s">
        <v>74</v>
      </c>
      <c r="AI41" t="s">
        <v>74</v>
      </c>
      <c r="AJ41" t="s">
        <v>74</v>
      </c>
      <c r="AK41" t="s">
        <v>74</v>
      </c>
      <c r="AL41" t="s">
        <v>74</v>
      </c>
      <c r="AM41" t="s">
        <v>74</v>
      </c>
      <c r="AN41" t="s">
        <v>74</v>
      </c>
      <c r="AO41" t="s">
        <v>74</v>
      </c>
      <c r="AP41" t="s">
        <v>476</v>
      </c>
      <c r="AQ41" t="s">
        <v>74</v>
      </c>
      <c r="AR41" t="s">
        <v>74</v>
      </c>
      <c r="AS41" t="s">
        <v>74</v>
      </c>
      <c r="AT41" t="s">
        <v>477</v>
      </c>
      <c r="AU41">
        <v>2025</v>
      </c>
      <c r="AV41">
        <v>11</v>
      </c>
      <c r="AW41">
        <v>9</v>
      </c>
      <c r="AX41" t="s">
        <v>74</v>
      </c>
      <c r="AY41" t="s">
        <v>74</v>
      </c>
      <c r="AZ41" t="s">
        <v>74</v>
      </c>
      <c r="BA41" t="s">
        <v>74</v>
      </c>
      <c r="BB41" t="s">
        <v>74</v>
      </c>
      <c r="BC41" t="s">
        <v>74</v>
      </c>
      <c r="BD41">
        <v>1042</v>
      </c>
      <c r="BE41" t="s">
        <v>478</v>
      </c>
      <c r="BF41" t="str">
        <f>HYPERLINK("http://dx.doi.org/10.3390/horticulturae11091042","http://dx.doi.org/10.3390/horticulturae11091042")</f>
        <v>http://dx.doi.org/10.3390/horticulturae11091042</v>
      </c>
      <c r="BG41" t="s">
        <v>74</v>
      </c>
      <c r="BH41" t="s">
        <v>74</v>
      </c>
      <c r="BI41" t="s">
        <v>74</v>
      </c>
      <c r="BJ41" t="s">
        <v>74</v>
      </c>
      <c r="BK41" t="s">
        <v>74</v>
      </c>
      <c r="BL41" t="s">
        <v>74</v>
      </c>
      <c r="BM41" t="s">
        <v>74</v>
      </c>
      <c r="BN41" t="s">
        <v>74</v>
      </c>
      <c r="BO41" t="s">
        <v>74</v>
      </c>
      <c r="BP41" t="s">
        <v>74</v>
      </c>
      <c r="BQ41" t="s">
        <v>74</v>
      </c>
      <c r="BR41" t="s">
        <v>74</v>
      </c>
      <c r="BS41" t="s">
        <v>479</v>
      </c>
      <c r="BT41" t="str">
        <f>HYPERLINK("https%3A%2F%2Fwww.webofscience.com%2Fwos%2Fwoscc%2Ffull-record%2FWOS:001580026500001","View Full Record in Web of Science")</f>
        <v>View Full Record in Web of Science</v>
      </c>
    </row>
    <row r="42" spans="1:72" x14ac:dyDescent="0.25">
      <c r="A42" t="s">
        <v>72</v>
      </c>
      <c r="B42" t="s">
        <v>480</v>
      </c>
      <c r="C42" t="s">
        <v>74</v>
      </c>
      <c r="D42" t="s">
        <v>74</v>
      </c>
      <c r="E42" t="s">
        <v>74</v>
      </c>
      <c r="F42" t="s">
        <v>481</v>
      </c>
      <c r="G42" t="s">
        <v>74</v>
      </c>
      <c r="H42" t="s">
        <v>74</v>
      </c>
      <c r="I42" t="s">
        <v>482</v>
      </c>
      <c r="J42" t="s">
        <v>483</v>
      </c>
      <c r="K42" t="s">
        <v>74</v>
      </c>
      <c r="L42" t="s">
        <v>74</v>
      </c>
      <c r="M42" t="s">
        <v>74</v>
      </c>
      <c r="N42" t="s">
        <v>74</v>
      </c>
      <c r="O42" t="s">
        <v>74</v>
      </c>
      <c r="P42" t="s">
        <v>74</v>
      </c>
      <c r="Q42" t="s">
        <v>74</v>
      </c>
      <c r="R42" t="s">
        <v>74</v>
      </c>
      <c r="S42" t="s">
        <v>74</v>
      </c>
      <c r="T42" t="s">
        <v>74</v>
      </c>
      <c r="U42" t="s">
        <v>74</v>
      </c>
      <c r="V42" t="s">
        <v>484</v>
      </c>
      <c r="W42" t="s">
        <v>74</v>
      </c>
      <c r="X42" t="s">
        <v>74</v>
      </c>
      <c r="Y42" t="s">
        <v>74</v>
      </c>
      <c r="Z42" t="s">
        <v>74</v>
      </c>
      <c r="AA42" t="s">
        <v>485</v>
      </c>
      <c r="AB42" t="s">
        <v>74</v>
      </c>
      <c r="AC42" t="s">
        <v>74</v>
      </c>
      <c r="AD42" t="s">
        <v>74</v>
      </c>
      <c r="AE42" t="s">
        <v>74</v>
      </c>
      <c r="AF42" t="s">
        <v>74</v>
      </c>
      <c r="AG42" t="s">
        <v>74</v>
      </c>
      <c r="AH42" t="s">
        <v>74</v>
      </c>
      <c r="AI42" t="s">
        <v>74</v>
      </c>
      <c r="AJ42" t="s">
        <v>74</v>
      </c>
      <c r="AK42" t="s">
        <v>74</v>
      </c>
      <c r="AL42" t="s">
        <v>74</v>
      </c>
      <c r="AM42" t="s">
        <v>74</v>
      </c>
      <c r="AN42" t="s">
        <v>74</v>
      </c>
      <c r="AO42" t="s">
        <v>486</v>
      </c>
      <c r="AP42" t="s">
        <v>487</v>
      </c>
      <c r="AQ42" t="s">
        <v>74</v>
      </c>
      <c r="AR42" t="s">
        <v>74</v>
      </c>
      <c r="AS42" t="s">
        <v>74</v>
      </c>
      <c r="AT42" t="s">
        <v>488</v>
      </c>
      <c r="AU42">
        <v>2025</v>
      </c>
      <c r="AV42">
        <v>15</v>
      </c>
      <c r="AW42">
        <v>8</v>
      </c>
      <c r="AX42" t="s">
        <v>74</v>
      </c>
      <c r="AY42" t="s">
        <v>74</v>
      </c>
      <c r="AZ42" t="s">
        <v>74</v>
      </c>
      <c r="BA42" t="s">
        <v>74</v>
      </c>
      <c r="BB42" t="s">
        <v>74</v>
      </c>
      <c r="BC42" t="s">
        <v>74</v>
      </c>
      <c r="BD42">
        <v>249</v>
      </c>
      <c r="BE42" t="s">
        <v>489</v>
      </c>
      <c r="BF42" t="str">
        <f>HYPERLINK("http://dx.doi.org/10.1007/s13205-025-04415-1","http://dx.doi.org/10.1007/s13205-025-04415-1")</f>
        <v>http://dx.doi.org/10.1007/s13205-025-04415-1</v>
      </c>
      <c r="BG42" t="s">
        <v>74</v>
      </c>
      <c r="BH42" t="s">
        <v>74</v>
      </c>
      <c r="BI42" t="s">
        <v>74</v>
      </c>
      <c r="BJ42" t="s">
        <v>74</v>
      </c>
      <c r="BK42" t="s">
        <v>74</v>
      </c>
      <c r="BL42" t="s">
        <v>74</v>
      </c>
      <c r="BM42" t="s">
        <v>74</v>
      </c>
      <c r="BN42">
        <v>40657403</v>
      </c>
      <c r="BO42" t="s">
        <v>74</v>
      </c>
      <c r="BP42" t="s">
        <v>74</v>
      </c>
      <c r="BQ42" t="s">
        <v>74</v>
      </c>
      <c r="BR42" t="s">
        <v>74</v>
      </c>
      <c r="BS42" t="s">
        <v>490</v>
      </c>
      <c r="BT42" t="str">
        <f>HYPERLINK("https%3A%2F%2Fwww.webofscience.com%2Fwos%2Fwoscc%2Ffull-record%2FWOS:001526852500002","View Full Record in Web of Science")</f>
        <v>View Full Record in Web of Science</v>
      </c>
    </row>
    <row r="43" spans="1:72" x14ac:dyDescent="0.25">
      <c r="A43" t="s">
        <v>72</v>
      </c>
      <c r="B43" t="s">
        <v>491</v>
      </c>
      <c r="C43" t="s">
        <v>74</v>
      </c>
      <c r="D43" t="s">
        <v>74</v>
      </c>
      <c r="E43" t="s">
        <v>74</v>
      </c>
      <c r="F43" t="s">
        <v>492</v>
      </c>
      <c r="G43" t="s">
        <v>74</v>
      </c>
      <c r="H43" t="s">
        <v>74</v>
      </c>
      <c r="I43" t="s">
        <v>493</v>
      </c>
      <c r="J43" t="s">
        <v>494</v>
      </c>
      <c r="K43" t="s">
        <v>74</v>
      </c>
      <c r="L43" t="s">
        <v>74</v>
      </c>
      <c r="M43" t="s">
        <v>74</v>
      </c>
      <c r="N43" t="s">
        <v>74</v>
      </c>
      <c r="O43" t="s">
        <v>74</v>
      </c>
      <c r="P43" t="s">
        <v>74</v>
      </c>
      <c r="Q43" t="s">
        <v>74</v>
      </c>
      <c r="R43" t="s">
        <v>74</v>
      </c>
      <c r="S43" t="s">
        <v>74</v>
      </c>
      <c r="T43" t="s">
        <v>74</v>
      </c>
      <c r="U43" t="s">
        <v>74</v>
      </c>
      <c r="V43" t="s">
        <v>495</v>
      </c>
      <c r="W43" t="s">
        <v>74</v>
      </c>
      <c r="X43" t="s">
        <v>74</v>
      </c>
      <c r="Y43" t="s">
        <v>74</v>
      </c>
      <c r="Z43" t="s">
        <v>74</v>
      </c>
      <c r="AA43" t="s">
        <v>496</v>
      </c>
      <c r="AB43" t="s">
        <v>497</v>
      </c>
      <c r="AC43" t="s">
        <v>74</v>
      </c>
      <c r="AD43" t="s">
        <v>74</v>
      </c>
      <c r="AE43" t="s">
        <v>74</v>
      </c>
      <c r="AF43" t="s">
        <v>74</v>
      </c>
      <c r="AG43" t="s">
        <v>74</v>
      </c>
      <c r="AH43" t="s">
        <v>74</v>
      </c>
      <c r="AI43" t="s">
        <v>74</v>
      </c>
      <c r="AJ43" t="s">
        <v>74</v>
      </c>
      <c r="AK43" t="s">
        <v>74</v>
      </c>
      <c r="AL43" t="s">
        <v>74</v>
      </c>
      <c r="AM43" t="s">
        <v>74</v>
      </c>
      <c r="AN43" t="s">
        <v>74</v>
      </c>
      <c r="AO43" t="s">
        <v>498</v>
      </c>
      <c r="AP43" t="s">
        <v>499</v>
      </c>
      <c r="AQ43" t="s">
        <v>74</v>
      </c>
      <c r="AR43" t="s">
        <v>74</v>
      </c>
      <c r="AS43" t="s">
        <v>74</v>
      </c>
      <c r="AT43" t="s">
        <v>229</v>
      </c>
      <c r="AU43">
        <v>2025</v>
      </c>
      <c r="AV43">
        <v>15</v>
      </c>
      <c r="AW43">
        <v>18</v>
      </c>
      <c r="AX43" t="s">
        <v>74</v>
      </c>
      <c r="AY43" t="s">
        <v>74</v>
      </c>
      <c r="AZ43" t="s">
        <v>74</v>
      </c>
      <c r="BA43" t="s">
        <v>74</v>
      </c>
      <c r="BB43">
        <v>24755</v>
      </c>
      <c r="BC43">
        <v>24772</v>
      </c>
      <c r="BD43" t="s">
        <v>74</v>
      </c>
      <c r="BE43" t="s">
        <v>500</v>
      </c>
      <c r="BF43" t="str">
        <f>HYPERLINK("http://dx.doi.org/10.1007/s13399-025-06837-6","http://dx.doi.org/10.1007/s13399-025-06837-6")</f>
        <v>http://dx.doi.org/10.1007/s13399-025-06837-6</v>
      </c>
      <c r="BG43" t="s">
        <v>74</v>
      </c>
      <c r="BH43" t="s">
        <v>501</v>
      </c>
      <c r="BI43" t="s">
        <v>74</v>
      </c>
      <c r="BJ43" t="s">
        <v>74</v>
      </c>
      <c r="BK43" t="s">
        <v>74</v>
      </c>
      <c r="BL43" t="s">
        <v>74</v>
      </c>
      <c r="BM43" t="s">
        <v>74</v>
      </c>
      <c r="BN43" t="s">
        <v>74</v>
      </c>
      <c r="BO43" t="s">
        <v>74</v>
      </c>
      <c r="BP43" t="s">
        <v>74</v>
      </c>
      <c r="BQ43" t="s">
        <v>74</v>
      </c>
      <c r="BR43" t="s">
        <v>74</v>
      </c>
      <c r="BS43" t="s">
        <v>502</v>
      </c>
      <c r="BT43" t="str">
        <f>HYPERLINK("https%3A%2F%2Fwww.webofscience.com%2Fwos%2Fwoscc%2Ffull-record%2FWOS:001461229500001","View Full Record in Web of Science")</f>
        <v>View Full Record in Web of Science</v>
      </c>
    </row>
    <row r="44" spans="1:72" x14ac:dyDescent="0.25">
      <c r="A44" t="s">
        <v>72</v>
      </c>
      <c r="B44" t="s">
        <v>503</v>
      </c>
      <c r="C44" t="s">
        <v>74</v>
      </c>
      <c r="D44" t="s">
        <v>74</v>
      </c>
      <c r="E44" t="s">
        <v>74</v>
      </c>
      <c r="F44" t="s">
        <v>504</v>
      </c>
      <c r="G44" t="s">
        <v>74</v>
      </c>
      <c r="H44" t="s">
        <v>74</v>
      </c>
      <c r="I44" t="s">
        <v>505</v>
      </c>
      <c r="J44" t="s">
        <v>506</v>
      </c>
      <c r="K44" t="s">
        <v>74</v>
      </c>
      <c r="L44" t="s">
        <v>74</v>
      </c>
      <c r="M44" t="s">
        <v>74</v>
      </c>
      <c r="N44" t="s">
        <v>74</v>
      </c>
      <c r="O44" t="s">
        <v>74</v>
      </c>
      <c r="P44" t="s">
        <v>74</v>
      </c>
      <c r="Q44" t="s">
        <v>74</v>
      </c>
      <c r="R44" t="s">
        <v>74</v>
      </c>
      <c r="S44" t="s">
        <v>74</v>
      </c>
      <c r="T44" t="s">
        <v>74</v>
      </c>
      <c r="U44" t="s">
        <v>74</v>
      </c>
      <c r="V44" t="s">
        <v>507</v>
      </c>
      <c r="W44" t="s">
        <v>74</v>
      </c>
      <c r="X44" t="s">
        <v>74</v>
      </c>
      <c r="Y44" t="s">
        <v>74</v>
      </c>
      <c r="Z44" t="s">
        <v>74</v>
      </c>
      <c r="AA44" t="s">
        <v>508</v>
      </c>
      <c r="AB44" t="s">
        <v>74</v>
      </c>
      <c r="AC44" t="s">
        <v>74</v>
      </c>
      <c r="AD44" t="s">
        <v>74</v>
      </c>
      <c r="AE44" t="s">
        <v>74</v>
      </c>
      <c r="AF44" t="s">
        <v>74</v>
      </c>
      <c r="AG44" t="s">
        <v>74</v>
      </c>
      <c r="AH44" t="s">
        <v>74</v>
      </c>
      <c r="AI44" t="s">
        <v>74</v>
      </c>
      <c r="AJ44" t="s">
        <v>74</v>
      </c>
      <c r="AK44" t="s">
        <v>74</v>
      </c>
      <c r="AL44" t="s">
        <v>74</v>
      </c>
      <c r="AM44" t="s">
        <v>74</v>
      </c>
      <c r="AN44" t="s">
        <v>74</v>
      </c>
      <c r="AO44" t="s">
        <v>509</v>
      </c>
      <c r="AP44" t="s">
        <v>74</v>
      </c>
      <c r="AQ44" t="s">
        <v>74</v>
      </c>
      <c r="AR44" t="s">
        <v>74</v>
      </c>
      <c r="AS44" t="s">
        <v>74</v>
      </c>
      <c r="AT44" t="s">
        <v>229</v>
      </c>
      <c r="AU44">
        <v>2025</v>
      </c>
      <c r="AV44">
        <v>13</v>
      </c>
      <c r="AW44">
        <v>9</v>
      </c>
      <c r="AX44" t="s">
        <v>74</v>
      </c>
      <c r="AY44" t="s">
        <v>74</v>
      </c>
      <c r="AZ44" t="s">
        <v>74</v>
      </c>
      <c r="BA44" t="s">
        <v>74</v>
      </c>
      <c r="BB44" t="s">
        <v>74</v>
      </c>
      <c r="BC44" t="s">
        <v>74</v>
      </c>
      <c r="BD44" t="s">
        <v>510</v>
      </c>
      <c r="BE44" t="s">
        <v>511</v>
      </c>
      <c r="BF44" t="str">
        <f>HYPERLINK("http://dx.doi.org/10.1002/fsn3.70927","http://dx.doi.org/10.1002/fsn3.70927")</f>
        <v>http://dx.doi.org/10.1002/fsn3.70927</v>
      </c>
      <c r="BG44" t="s">
        <v>74</v>
      </c>
      <c r="BH44" t="s">
        <v>74</v>
      </c>
      <c r="BI44" t="s">
        <v>74</v>
      </c>
      <c r="BJ44" t="s">
        <v>74</v>
      </c>
      <c r="BK44" t="s">
        <v>74</v>
      </c>
      <c r="BL44" t="s">
        <v>74</v>
      </c>
      <c r="BM44" t="s">
        <v>74</v>
      </c>
      <c r="BN44">
        <v>40969906</v>
      </c>
      <c r="BO44" t="s">
        <v>74</v>
      </c>
      <c r="BP44" t="s">
        <v>74</v>
      </c>
      <c r="BQ44" t="s">
        <v>74</v>
      </c>
      <c r="BR44" t="s">
        <v>74</v>
      </c>
      <c r="BS44" t="s">
        <v>512</v>
      </c>
      <c r="BT44" t="str">
        <f>HYPERLINK("https%3A%2F%2Fwww.webofscience.com%2Fwos%2Fwoscc%2Ffull-record%2FWOS:001583309600033","View Full Record in Web of Science")</f>
        <v>View Full Record in Web of Science</v>
      </c>
    </row>
    <row r="45" spans="1:72" x14ac:dyDescent="0.25">
      <c r="A45" t="s">
        <v>72</v>
      </c>
      <c r="B45" t="s">
        <v>513</v>
      </c>
      <c r="C45" t="s">
        <v>74</v>
      </c>
      <c r="D45" t="s">
        <v>74</v>
      </c>
      <c r="E45" t="s">
        <v>74</v>
      </c>
      <c r="F45" t="s">
        <v>514</v>
      </c>
      <c r="G45" t="s">
        <v>74</v>
      </c>
      <c r="H45" t="s">
        <v>74</v>
      </c>
      <c r="I45" t="s">
        <v>515</v>
      </c>
      <c r="J45" t="s">
        <v>516</v>
      </c>
      <c r="K45" t="s">
        <v>74</v>
      </c>
      <c r="L45" t="s">
        <v>74</v>
      </c>
      <c r="M45" t="s">
        <v>74</v>
      </c>
      <c r="N45" t="s">
        <v>74</v>
      </c>
      <c r="O45" t="s">
        <v>74</v>
      </c>
      <c r="P45" t="s">
        <v>74</v>
      </c>
      <c r="Q45" t="s">
        <v>74</v>
      </c>
      <c r="R45" t="s">
        <v>74</v>
      </c>
      <c r="S45" t="s">
        <v>74</v>
      </c>
      <c r="T45" t="s">
        <v>74</v>
      </c>
      <c r="U45" t="s">
        <v>74</v>
      </c>
      <c r="V45" t="s">
        <v>517</v>
      </c>
      <c r="W45" t="s">
        <v>74</v>
      </c>
      <c r="X45" t="s">
        <v>74</v>
      </c>
      <c r="Y45" t="s">
        <v>74</v>
      </c>
      <c r="Z45" t="s">
        <v>74</v>
      </c>
      <c r="AA45" t="s">
        <v>518</v>
      </c>
      <c r="AB45" t="s">
        <v>519</v>
      </c>
      <c r="AC45" t="s">
        <v>74</v>
      </c>
      <c r="AD45" t="s">
        <v>74</v>
      </c>
      <c r="AE45" t="s">
        <v>74</v>
      </c>
      <c r="AF45" t="s">
        <v>74</v>
      </c>
      <c r="AG45" t="s">
        <v>74</v>
      </c>
      <c r="AH45" t="s">
        <v>74</v>
      </c>
      <c r="AI45" t="s">
        <v>74</v>
      </c>
      <c r="AJ45" t="s">
        <v>74</v>
      </c>
      <c r="AK45" t="s">
        <v>74</v>
      </c>
      <c r="AL45" t="s">
        <v>74</v>
      </c>
      <c r="AM45" t="s">
        <v>74</v>
      </c>
      <c r="AN45" t="s">
        <v>74</v>
      </c>
      <c r="AO45" t="s">
        <v>520</v>
      </c>
      <c r="AP45" t="s">
        <v>521</v>
      </c>
      <c r="AQ45" t="s">
        <v>74</v>
      </c>
      <c r="AR45" t="s">
        <v>74</v>
      </c>
      <c r="AS45" t="s">
        <v>74</v>
      </c>
      <c r="AT45" t="s">
        <v>74</v>
      </c>
      <c r="AU45">
        <v>2025</v>
      </c>
      <c r="AV45">
        <v>2025</v>
      </c>
      <c r="AW45">
        <v>1</v>
      </c>
      <c r="AX45" t="s">
        <v>74</v>
      </c>
      <c r="AY45" t="s">
        <v>74</v>
      </c>
      <c r="AZ45" t="s">
        <v>74</v>
      </c>
      <c r="BA45" t="s">
        <v>74</v>
      </c>
      <c r="BB45" t="s">
        <v>74</v>
      </c>
      <c r="BC45" t="s">
        <v>74</v>
      </c>
      <c r="BD45">
        <v>4810929</v>
      </c>
      <c r="BE45" t="s">
        <v>522</v>
      </c>
      <c r="BF45" t="str">
        <f>HYPERLINK("http://dx.doi.org/10.1155/jfpp/4810929","http://dx.doi.org/10.1155/jfpp/4810929")</f>
        <v>http://dx.doi.org/10.1155/jfpp/4810929</v>
      </c>
      <c r="BG45" t="s">
        <v>74</v>
      </c>
      <c r="BH45" t="s">
        <v>74</v>
      </c>
      <c r="BI45" t="s">
        <v>74</v>
      </c>
      <c r="BJ45" t="s">
        <v>74</v>
      </c>
      <c r="BK45" t="s">
        <v>74</v>
      </c>
      <c r="BL45" t="s">
        <v>74</v>
      </c>
      <c r="BM45" t="s">
        <v>74</v>
      </c>
      <c r="BN45" t="s">
        <v>74</v>
      </c>
      <c r="BO45" t="s">
        <v>74</v>
      </c>
      <c r="BP45" t="s">
        <v>74</v>
      </c>
      <c r="BQ45" t="s">
        <v>74</v>
      </c>
      <c r="BR45" t="s">
        <v>74</v>
      </c>
      <c r="BS45" t="s">
        <v>523</v>
      </c>
      <c r="BT45" t="str">
        <f>HYPERLINK("https%3A%2F%2Fwww.webofscience.com%2Fwos%2Fwoscc%2Ffull-record%2FWOS:001431044200001","View Full Record in Web of Science")</f>
        <v>View Full Record in Web of Science</v>
      </c>
    </row>
    <row r="46" spans="1:72" x14ac:dyDescent="0.25">
      <c r="A46" t="s">
        <v>72</v>
      </c>
      <c r="B46" t="s">
        <v>524</v>
      </c>
      <c r="C46" t="s">
        <v>74</v>
      </c>
      <c r="D46" t="s">
        <v>74</v>
      </c>
      <c r="E46" t="s">
        <v>74</v>
      </c>
      <c r="F46" t="s">
        <v>525</v>
      </c>
      <c r="G46" t="s">
        <v>74</v>
      </c>
      <c r="H46" t="s">
        <v>74</v>
      </c>
      <c r="I46" t="s">
        <v>526</v>
      </c>
      <c r="J46" t="s">
        <v>101</v>
      </c>
      <c r="K46" t="s">
        <v>74</v>
      </c>
      <c r="L46" t="s">
        <v>74</v>
      </c>
      <c r="M46" t="s">
        <v>74</v>
      </c>
      <c r="N46" t="s">
        <v>74</v>
      </c>
      <c r="O46" t="s">
        <v>74</v>
      </c>
      <c r="P46" t="s">
        <v>74</v>
      </c>
      <c r="Q46" t="s">
        <v>74</v>
      </c>
      <c r="R46" t="s">
        <v>74</v>
      </c>
      <c r="S46" t="s">
        <v>74</v>
      </c>
      <c r="T46" t="s">
        <v>74</v>
      </c>
      <c r="U46" t="s">
        <v>74</v>
      </c>
      <c r="V46" t="s">
        <v>527</v>
      </c>
      <c r="W46" t="s">
        <v>74</v>
      </c>
      <c r="X46" t="s">
        <v>74</v>
      </c>
      <c r="Y46" t="s">
        <v>74</v>
      </c>
      <c r="Z46" t="s">
        <v>74</v>
      </c>
      <c r="AA46" t="s">
        <v>74</v>
      </c>
      <c r="AB46" t="s">
        <v>74</v>
      </c>
      <c r="AC46" t="s">
        <v>74</v>
      </c>
      <c r="AD46" t="s">
        <v>74</v>
      </c>
      <c r="AE46" t="s">
        <v>74</v>
      </c>
      <c r="AF46" t="s">
        <v>74</v>
      </c>
      <c r="AG46" t="s">
        <v>74</v>
      </c>
      <c r="AH46" t="s">
        <v>74</v>
      </c>
      <c r="AI46" t="s">
        <v>74</v>
      </c>
      <c r="AJ46" t="s">
        <v>74</v>
      </c>
      <c r="AK46" t="s">
        <v>74</v>
      </c>
      <c r="AL46" t="s">
        <v>74</v>
      </c>
      <c r="AM46" t="s">
        <v>74</v>
      </c>
      <c r="AN46" t="s">
        <v>74</v>
      </c>
      <c r="AO46" t="s">
        <v>104</v>
      </c>
      <c r="AP46" t="s">
        <v>74</v>
      </c>
      <c r="AQ46" t="s">
        <v>74</v>
      </c>
      <c r="AR46" t="s">
        <v>74</v>
      </c>
      <c r="AS46" t="s">
        <v>74</v>
      </c>
      <c r="AT46" t="s">
        <v>105</v>
      </c>
      <c r="AU46">
        <v>2025</v>
      </c>
      <c r="AV46">
        <v>20</v>
      </c>
      <c r="AW46">
        <v>2</v>
      </c>
      <c r="AX46" t="s">
        <v>74</v>
      </c>
      <c r="AY46" t="s">
        <v>74</v>
      </c>
      <c r="AZ46" t="s">
        <v>74</v>
      </c>
      <c r="BA46" t="s">
        <v>74</v>
      </c>
      <c r="BB46">
        <v>5114</v>
      </c>
      <c r="BC46">
        <v>5156</v>
      </c>
      <c r="BD46" t="s">
        <v>74</v>
      </c>
      <c r="BE46" t="s">
        <v>528</v>
      </c>
      <c r="BF46" t="str">
        <f>HYPERLINK("http://dx.doi.org/10.15376/biores.20.2.Danielewicz","http://dx.doi.org/10.15376/biores.20.2.Danielewicz")</f>
        <v>http://dx.doi.org/10.15376/biores.20.2.Danielewicz</v>
      </c>
      <c r="BG46" t="s">
        <v>74</v>
      </c>
      <c r="BH46" t="s">
        <v>74</v>
      </c>
      <c r="BI46" t="s">
        <v>74</v>
      </c>
      <c r="BJ46" t="s">
        <v>74</v>
      </c>
      <c r="BK46" t="s">
        <v>74</v>
      </c>
      <c r="BL46" t="s">
        <v>74</v>
      </c>
      <c r="BM46" t="s">
        <v>74</v>
      </c>
      <c r="BN46" t="s">
        <v>74</v>
      </c>
      <c r="BO46" t="s">
        <v>74</v>
      </c>
      <c r="BP46" t="s">
        <v>74</v>
      </c>
      <c r="BQ46" t="s">
        <v>74</v>
      </c>
      <c r="BR46" t="s">
        <v>74</v>
      </c>
      <c r="BS46" t="s">
        <v>529</v>
      </c>
      <c r="BT46" t="str">
        <f>HYPERLINK("https%3A%2F%2Fwww.webofscience.com%2Fwos%2Fwoscc%2Ffull-record%2FWOS:001485448400034","View Full Record in Web of Science")</f>
        <v>View Full Record in Web of Science</v>
      </c>
    </row>
    <row r="47" spans="1:72" x14ac:dyDescent="0.25">
      <c r="A47" t="s">
        <v>72</v>
      </c>
      <c r="B47" t="s">
        <v>530</v>
      </c>
      <c r="C47" t="s">
        <v>74</v>
      </c>
      <c r="D47" t="s">
        <v>74</v>
      </c>
      <c r="E47" t="s">
        <v>74</v>
      </c>
      <c r="F47" t="s">
        <v>531</v>
      </c>
      <c r="G47" t="s">
        <v>74</v>
      </c>
      <c r="H47" t="s">
        <v>74</v>
      </c>
      <c r="I47" t="s">
        <v>532</v>
      </c>
      <c r="J47" t="s">
        <v>533</v>
      </c>
      <c r="K47" t="s">
        <v>74</v>
      </c>
      <c r="L47" t="s">
        <v>74</v>
      </c>
      <c r="M47" t="s">
        <v>74</v>
      </c>
      <c r="N47" t="s">
        <v>74</v>
      </c>
      <c r="O47" t="s">
        <v>74</v>
      </c>
      <c r="P47" t="s">
        <v>74</v>
      </c>
      <c r="Q47" t="s">
        <v>74</v>
      </c>
      <c r="R47" t="s">
        <v>74</v>
      </c>
      <c r="S47" t="s">
        <v>74</v>
      </c>
      <c r="T47" t="s">
        <v>74</v>
      </c>
      <c r="U47" t="s">
        <v>74</v>
      </c>
      <c r="V47" t="s">
        <v>534</v>
      </c>
      <c r="W47" t="s">
        <v>74</v>
      </c>
      <c r="X47" t="s">
        <v>74</v>
      </c>
      <c r="Y47" t="s">
        <v>74</v>
      </c>
      <c r="Z47" t="s">
        <v>74</v>
      </c>
      <c r="AA47" t="s">
        <v>535</v>
      </c>
      <c r="AB47" t="s">
        <v>536</v>
      </c>
      <c r="AC47" t="s">
        <v>74</v>
      </c>
      <c r="AD47" t="s">
        <v>74</v>
      </c>
      <c r="AE47" t="s">
        <v>74</v>
      </c>
      <c r="AF47" t="s">
        <v>74</v>
      </c>
      <c r="AG47" t="s">
        <v>74</v>
      </c>
      <c r="AH47" t="s">
        <v>74</v>
      </c>
      <c r="AI47" t="s">
        <v>74</v>
      </c>
      <c r="AJ47" t="s">
        <v>74</v>
      </c>
      <c r="AK47" t="s">
        <v>74</v>
      </c>
      <c r="AL47" t="s">
        <v>74</v>
      </c>
      <c r="AM47" t="s">
        <v>74</v>
      </c>
      <c r="AN47" t="s">
        <v>74</v>
      </c>
      <c r="AO47" t="s">
        <v>537</v>
      </c>
      <c r="AP47" t="s">
        <v>538</v>
      </c>
      <c r="AQ47" t="s">
        <v>74</v>
      </c>
      <c r="AR47" t="s">
        <v>74</v>
      </c>
      <c r="AS47" t="s">
        <v>74</v>
      </c>
      <c r="AT47" t="s">
        <v>438</v>
      </c>
      <c r="AU47">
        <v>2025</v>
      </c>
      <c r="AV47">
        <v>62</v>
      </c>
      <c r="AW47">
        <v>7</v>
      </c>
      <c r="AX47" t="s">
        <v>74</v>
      </c>
      <c r="AY47" t="s">
        <v>74</v>
      </c>
      <c r="AZ47" t="s">
        <v>74</v>
      </c>
      <c r="BA47" t="s">
        <v>74</v>
      </c>
      <c r="BB47">
        <v>1199</v>
      </c>
      <c r="BC47">
        <v>1212</v>
      </c>
      <c r="BD47" t="s">
        <v>74</v>
      </c>
      <c r="BE47" t="s">
        <v>539</v>
      </c>
      <c r="BF47" t="str">
        <f>HYPERLINK("http://dx.doi.org/10.1007/s13197-025-06286-z","http://dx.doi.org/10.1007/s13197-025-06286-z")</f>
        <v>http://dx.doi.org/10.1007/s13197-025-06286-z</v>
      </c>
      <c r="BG47" t="s">
        <v>74</v>
      </c>
      <c r="BH47" t="s">
        <v>540</v>
      </c>
      <c r="BI47" t="s">
        <v>74</v>
      </c>
      <c r="BJ47" t="s">
        <v>74</v>
      </c>
      <c r="BK47" t="s">
        <v>74</v>
      </c>
      <c r="BL47" t="s">
        <v>74</v>
      </c>
      <c r="BM47" t="s">
        <v>74</v>
      </c>
      <c r="BN47">
        <v>40538947</v>
      </c>
      <c r="BO47" t="s">
        <v>74</v>
      </c>
      <c r="BP47" t="s">
        <v>74</v>
      </c>
      <c r="BQ47" t="s">
        <v>74</v>
      </c>
      <c r="BR47" t="s">
        <v>74</v>
      </c>
      <c r="BS47" t="s">
        <v>541</v>
      </c>
      <c r="BT47" t="str">
        <f>HYPERLINK("https%3A%2F%2Fwww.webofscience.com%2Fwos%2Fwoscc%2Ffull-record%2FWOS:001484585300001","View Full Record in Web of Science")</f>
        <v>View Full Record in Web of Science</v>
      </c>
    </row>
    <row r="48" spans="1:72" x14ac:dyDescent="0.25">
      <c r="A48" t="s">
        <v>72</v>
      </c>
      <c r="B48" t="s">
        <v>542</v>
      </c>
      <c r="C48" t="s">
        <v>74</v>
      </c>
      <c r="D48" t="s">
        <v>74</v>
      </c>
      <c r="E48" t="s">
        <v>74</v>
      </c>
      <c r="F48" t="s">
        <v>543</v>
      </c>
      <c r="G48" t="s">
        <v>74</v>
      </c>
      <c r="H48" t="s">
        <v>74</v>
      </c>
      <c r="I48" t="s">
        <v>544</v>
      </c>
      <c r="J48" t="s">
        <v>101</v>
      </c>
      <c r="K48" t="s">
        <v>74</v>
      </c>
      <c r="L48" t="s">
        <v>74</v>
      </c>
      <c r="M48" t="s">
        <v>74</v>
      </c>
      <c r="N48" t="s">
        <v>74</v>
      </c>
      <c r="O48" t="s">
        <v>74</v>
      </c>
      <c r="P48" t="s">
        <v>74</v>
      </c>
      <c r="Q48" t="s">
        <v>74</v>
      </c>
      <c r="R48" t="s">
        <v>74</v>
      </c>
      <c r="S48" t="s">
        <v>74</v>
      </c>
      <c r="T48" t="s">
        <v>74</v>
      </c>
      <c r="U48" t="s">
        <v>74</v>
      </c>
      <c r="V48" t="s">
        <v>545</v>
      </c>
      <c r="W48" t="s">
        <v>74</v>
      </c>
      <c r="X48" t="s">
        <v>74</v>
      </c>
      <c r="Y48" t="s">
        <v>74</v>
      </c>
      <c r="Z48" t="s">
        <v>74</v>
      </c>
      <c r="AA48" t="s">
        <v>546</v>
      </c>
      <c r="AB48" t="s">
        <v>547</v>
      </c>
      <c r="AC48" t="s">
        <v>74</v>
      </c>
      <c r="AD48" t="s">
        <v>74</v>
      </c>
      <c r="AE48" t="s">
        <v>74</v>
      </c>
      <c r="AF48" t="s">
        <v>74</v>
      </c>
      <c r="AG48" t="s">
        <v>74</v>
      </c>
      <c r="AH48" t="s">
        <v>74</v>
      </c>
      <c r="AI48" t="s">
        <v>74</v>
      </c>
      <c r="AJ48" t="s">
        <v>74</v>
      </c>
      <c r="AK48" t="s">
        <v>74</v>
      </c>
      <c r="AL48" t="s">
        <v>74</v>
      </c>
      <c r="AM48" t="s">
        <v>74</v>
      </c>
      <c r="AN48" t="s">
        <v>74</v>
      </c>
      <c r="AO48" t="s">
        <v>104</v>
      </c>
      <c r="AP48" t="s">
        <v>74</v>
      </c>
      <c r="AQ48" t="s">
        <v>74</v>
      </c>
      <c r="AR48" t="s">
        <v>74</v>
      </c>
      <c r="AS48" t="s">
        <v>74</v>
      </c>
      <c r="AT48" t="s">
        <v>148</v>
      </c>
      <c r="AU48">
        <v>2025</v>
      </c>
      <c r="AV48">
        <v>20</v>
      </c>
      <c r="AW48">
        <v>3</v>
      </c>
      <c r="AX48" t="s">
        <v>74</v>
      </c>
      <c r="AY48" t="s">
        <v>74</v>
      </c>
      <c r="AZ48" t="s">
        <v>74</v>
      </c>
      <c r="BA48" t="s">
        <v>74</v>
      </c>
      <c r="BB48">
        <v>7435</v>
      </c>
      <c r="BC48">
        <v>7462</v>
      </c>
      <c r="BD48" t="s">
        <v>74</v>
      </c>
      <c r="BE48" t="s">
        <v>548</v>
      </c>
      <c r="BF48" t="str">
        <f>HYPERLINK("http://dx.doi.org/10.15376/biores.20.3.7435-7462","http://dx.doi.org/10.15376/biores.20.3.7435-7462")</f>
        <v>http://dx.doi.org/10.15376/biores.20.3.7435-7462</v>
      </c>
      <c r="BG48" t="s">
        <v>74</v>
      </c>
      <c r="BH48" t="s">
        <v>74</v>
      </c>
      <c r="BI48" t="s">
        <v>74</v>
      </c>
      <c r="BJ48" t="s">
        <v>74</v>
      </c>
      <c r="BK48" t="s">
        <v>74</v>
      </c>
      <c r="BL48" t="s">
        <v>74</v>
      </c>
      <c r="BM48" t="s">
        <v>74</v>
      </c>
      <c r="BN48" t="s">
        <v>74</v>
      </c>
      <c r="BO48" t="s">
        <v>74</v>
      </c>
      <c r="BP48" t="s">
        <v>74</v>
      </c>
      <c r="BQ48" t="s">
        <v>74</v>
      </c>
      <c r="BR48" t="s">
        <v>74</v>
      </c>
      <c r="BS48" t="s">
        <v>549</v>
      </c>
      <c r="BT48" t="str">
        <f>HYPERLINK("https%3A%2F%2Fwww.webofscience.com%2Fwos%2Fwoscc%2Ffull-record%2FWOS:001552507500027","View Full Record in Web of Science")</f>
        <v>View Full Record in Web of Science</v>
      </c>
    </row>
    <row r="49" spans="1:72" x14ac:dyDescent="0.25">
      <c r="A49" t="s">
        <v>72</v>
      </c>
      <c r="B49" t="s">
        <v>550</v>
      </c>
      <c r="C49" t="s">
        <v>74</v>
      </c>
      <c r="D49" t="s">
        <v>74</v>
      </c>
      <c r="E49" t="s">
        <v>74</v>
      </c>
      <c r="F49" t="s">
        <v>551</v>
      </c>
      <c r="G49" t="s">
        <v>74</v>
      </c>
      <c r="H49" t="s">
        <v>74</v>
      </c>
      <c r="I49" t="s">
        <v>552</v>
      </c>
      <c r="J49" t="s">
        <v>553</v>
      </c>
      <c r="K49" t="s">
        <v>74</v>
      </c>
      <c r="L49" t="s">
        <v>74</v>
      </c>
      <c r="M49" t="s">
        <v>74</v>
      </c>
      <c r="N49" t="s">
        <v>74</v>
      </c>
      <c r="O49" t="s">
        <v>74</v>
      </c>
      <c r="P49" t="s">
        <v>74</v>
      </c>
      <c r="Q49" t="s">
        <v>74</v>
      </c>
      <c r="R49" t="s">
        <v>74</v>
      </c>
      <c r="S49" t="s">
        <v>74</v>
      </c>
      <c r="T49" t="s">
        <v>74</v>
      </c>
      <c r="U49" t="s">
        <v>74</v>
      </c>
      <c r="V49" t="s">
        <v>554</v>
      </c>
      <c r="W49" t="s">
        <v>74</v>
      </c>
      <c r="X49" t="s">
        <v>74</v>
      </c>
      <c r="Y49" t="s">
        <v>74</v>
      </c>
      <c r="Z49" t="s">
        <v>74</v>
      </c>
      <c r="AA49" t="s">
        <v>555</v>
      </c>
      <c r="AB49" t="s">
        <v>556</v>
      </c>
      <c r="AC49" t="s">
        <v>74</v>
      </c>
      <c r="AD49" t="s">
        <v>74</v>
      </c>
      <c r="AE49" t="s">
        <v>74</v>
      </c>
      <c r="AF49" t="s">
        <v>74</v>
      </c>
      <c r="AG49" t="s">
        <v>74</v>
      </c>
      <c r="AH49" t="s">
        <v>74</v>
      </c>
      <c r="AI49" t="s">
        <v>74</v>
      </c>
      <c r="AJ49" t="s">
        <v>74</v>
      </c>
      <c r="AK49" t="s">
        <v>74</v>
      </c>
      <c r="AL49" t="s">
        <v>74</v>
      </c>
      <c r="AM49" t="s">
        <v>74</v>
      </c>
      <c r="AN49" t="s">
        <v>74</v>
      </c>
      <c r="AO49" t="s">
        <v>557</v>
      </c>
      <c r="AP49" t="s">
        <v>558</v>
      </c>
      <c r="AQ49" t="s">
        <v>74</v>
      </c>
      <c r="AR49" t="s">
        <v>74</v>
      </c>
      <c r="AS49" t="s">
        <v>74</v>
      </c>
      <c r="AT49" t="s">
        <v>148</v>
      </c>
      <c r="AU49">
        <v>2025</v>
      </c>
      <c r="AV49">
        <v>222</v>
      </c>
      <c r="AW49" t="s">
        <v>74</v>
      </c>
      <c r="AX49" t="s">
        <v>74</v>
      </c>
      <c r="AY49" t="s">
        <v>74</v>
      </c>
      <c r="AZ49" t="s">
        <v>74</v>
      </c>
      <c r="BA49" t="s">
        <v>74</v>
      </c>
      <c r="BB49" t="s">
        <v>74</v>
      </c>
      <c r="BC49" t="s">
        <v>74</v>
      </c>
      <c r="BD49">
        <v>108428</v>
      </c>
      <c r="BE49" t="s">
        <v>559</v>
      </c>
      <c r="BF49" t="str">
        <f>HYPERLINK("http://dx.doi.org/10.1016/j.resconrec.2025.108428","http://dx.doi.org/10.1016/j.resconrec.2025.108428")</f>
        <v>http://dx.doi.org/10.1016/j.resconrec.2025.108428</v>
      </c>
      <c r="BG49" t="s">
        <v>74</v>
      </c>
      <c r="BH49" t="s">
        <v>74</v>
      </c>
      <c r="BI49" t="s">
        <v>74</v>
      </c>
      <c r="BJ49" t="s">
        <v>74</v>
      </c>
      <c r="BK49" t="s">
        <v>74</v>
      </c>
      <c r="BL49" t="s">
        <v>74</v>
      </c>
      <c r="BM49" t="s">
        <v>74</v>
      </c>
      <c r="BN49" t="s">
        <v>74</v>
      </c>
      <c r="BO49" t="s">
        <v>74</v>
      </c>
      <c r="BP49" t="s">
        <v>74</v>
      </c>
      <c r="BQ49" t="s">
        <v>74</v>
      </c>
      <c r="BR49" t="s">
        <v>74</v>
      </c>
      <c r="BS49" t="s">
        <v>560</v>
      </c>
      <c r="BT49" t="str">
        <f>HYPERLINK("https%3A%2F%2Fwww.webofscience.com%2Fwos%2Fwoscc%2Ffull-record%2FWOS:001511838900002","View Full Record in Web of Science")</f>
        <v>View Full Record in Web of Science</v>
      </c>
    </row>
    <row r="50" spans="1:72" x14ac:dyDescent="0.25">
      <c r="A50" t="s">
        <v>72</v>
      </c>
      <c r="B50" t="s">
        <v>561</v>
      </c>
      <c r="C50" t="s">
        <v>74</v>
      </c>
      <c r="D50" t="s">
        <v>74</v>
      </c>
      <c r="E50" t="s">
        <v>74</v>
      </c>
      <c r="F50" t="s">
        <v>562</v>
      </c>
      <c r="G50" t="s">
        <v>74</v>
      </c>
      <c r="H50" t="s">
        <v>74</v>
      </c>
      <c r="I50" t="s">
        <v>563</v>
      </c>
      <c r="J50" t="s">
        <v>564</v>
      </c>
      <c r="K50" t="s">
        <v>74</v>
      </c>
      <c r="L50" t="s">
        <v>74</v>
      </c>
      <c r="M50" t="s">
        <v>74</v>
      </c>
      <c r="N50" t="s">
        <v>74</v>
      </c>
      <c r="O50" t="s">
        <v>74</v>
      </c>
      <c r="P50" t="s">
        <v>74</v>
      </c>
      <c r="Q50" t="s">
        <v>74</v>
      </c>
      <c r="R50" t="s">
        <v>74</v>
      </c>
      <c r="S50" t="s">
        <v>74</v>
      </c>
      <c r="T50" t="s">
        <v>74</v>
      </c>
      <c r="U50" t="s">
        <v>74</v>
      </c>
      <c r="V50" t="s">
        <v>565</v>
      </c>
      <c r="W50" t="s">
        <v>74</v>
      </c>
      <c r="X50" t="s">
        <v>74</v>
      </c>
      <c r="Y50" t="s">
        <v>74</v>
      </c>
      <c r="Z50" t="s">
        <v>74</v>
      </c>
      <c r="AA50" t="s">
        <v>566</v>
      </c>
      <c r="AB50" t="s">
        <v>74</v>
      </c>
      <c r="AC50" t="s">
        <v>74</v>
      </c>
      <c r="AD50" t="s">
        <v>74</v>
      </c>
      <c r="AE50" t="s">
        <v>74</v>
      </c>
      <c r="AF50" t="s">
        <v>74</v>
      </c>
      <c r="AG50" t="s">
        <v>74</v>
      </c>
      <c r="AH50" t="s">
        <v>74</v>
      </c>
      <c r="AI50" t="s">
        <v>74</v>
      </c>
      <c r="AJ50" t="s">
        <v>74</v>
      </c>
      <c r="AK50" t="s">
        <v>74</v>
      </c>
      <c r="AL50" t="s">
        <v>74</v>
      </c>
      <c r="AM50" t="s">
        <v>74</v>
      </c>
      <c r="AN50" t="s">
        <v>74</v>
      </c>
      <c r="AO50" t="s">
        <v>567</v>
      </c>
      <c r="AP50" t="s">
        <v>568</v>
      </c>
      <c r="AQ50" t="s">
        <v>74</v>
      </c>
      <c r="AR50" t="s">
        <v>74</v>
      </c>
      <c r="AS50" t="s">
        <v>74</v>
      </c>
      <c r="AT50" t="s">
        <v>127</v>
      </c>
      <c r="AU50">
        <v>2025</v>
      </c>
      <c r="AV50">
        <v>10</v>
      </c>
      <c r="AW50">
        <v>2</v>
      </c>
      <c r="AX50" t="s">
        <v>74</v>
      </c>
      <c r="AY50" t="s">
        <v>74</v>
      </c>
      <c r="AZ50" t="s">
        <v>74</v>
      </c>
      <c r="BA50" t="s">
        <v>74</v>
      </c>
      <c r="BB50">
        <v>322</v>
      </c>
      <c r="BC50">
        <v>344</v>
      </c>
      <c r="BD50" t="s">
        <v>74</v>
      </c>
      <c r="BE50" t="s">
        <v>569</v>
      </c>
      <c r="BF50" t="str">
        <f>HYPERLINK("http://dx.doi.org/10.1016/j.gee.2024.05.001","http://dx.doi.org/10.1016/j.gee.2024.05.001")</f>
        <v>http://dx.doi.org/10.1016/j.gee.2024.05.001</v>
      </c>
      <c r="BG50" t="s">
        <v>74</v>
      </c>
      <c r="BH50" t="s">
        <v>74</v>
      </c>
      <c r="BI50" t="s">
        <v>74</v>
      </c>
      <c r="BJ50" t="s">
        <v>74</v>
      </c>
      <c r="BK50" t="s">
        <v>74</v>
      </c>
      <c r="BL50" t="s">
        <v>74</v>
      </c>
      <c r="BM50" t="s">
        <v>74</v>
      </c>
      <c r="BN50" t="s">
        <v>74</v>
      </c>
      <c r="BO50" t="s">
        <v>74</v>
      </c>
      <c r="BP50" t="s">
        <v>74</v>
      </c>
      <c r="BQ50" t="s">
        <v>74</v>
      </c>
      <c r="BR50" t="s">
        <v>74</v>
      </c>
      <c r="BS50" t="s">
        <v>570</v>
      </c>
      <c r="BT50" t="str">
        <f>HYPERLINK("https%3A%2F%2Fwww.webofscience.com%2Fwos%2Fwoscc%2Ffull-record%2FWOS:001447678600001","View Full Record in Web of Science")</f>
        <v>View Full Record in Web of Science</v>
      </c>
    </row>
    <row r="51" spans="1:72" x14ac:dyDescent="0.25">
      <c r="A51" t="s">
        <v>72</v>
      </c>
      <c r="B51" t="s">
        <v>571</v>
      </c>
      <c r="C51" t="s">
        <v>74</v>
      </c>
      <c r="D51" t="s">
        <v>74</v>
      </c>
      <c r="E51" t="s">
        <v>74</v>
      </c>
      <c r="F51" t="s">
        <v>572</v>
      </c>
      <c r="G51" t="s">
        <v>74</v>
      </c>
      <c r="H51" t="s">
        <v>74</v>
      </c>
      <c r="I51" t="s">
        <v>573</v>
      </c>
      <c r="J51" t="s">
        <v>574</v>
      </c>
      <c r="K51" t="s">
        <v>74</v>
      </c>
      <c r="L51" t="s">
        <v>74</v>
      </c>
      <c r="M51" t="s">
        <v>74</v>
      </c>
      <c r="N51" t="s">
        <v>74</v>
      </c>
      <c r="O51" t="s">
        <v>74</v>
      </c>
      <c r="P51" t="s">
        <v>74</v>
      </c>
      <c r="Q51" t="s">
        <v>74</v>
      </c>
      <c r="R51" t="s">
        <v>74</v>
      </c>
      <c r="S51" t="s">
        <v>74</v>
      </c>
      <c r="T51" t="s">
        <v>74</v>
      </c>
      <c r="U51" t="s">
        <v>74</v>
      </c>
      <c r="V51" t="s">
        <v>575</v>
      </c>
      <c r="W51" t="s">
        <v>74</v>
      </c>
      <c r="X51" t="s">
        <v>74</v>
      </c>
      <c r="Y51" t="s">
        <v>74</v>
      </c>
      <c r="Z51" t="s">
        <v>74</v>
      </c>
      <c r="AA51" t="s">
        <v>576</v>
      </c>
      <c r="AB51" t="s">
        <v>577</v>
      </c>
      <c r="AC51" t="s">
        <v>74</v>
      </c>
      <c r="AD51" t="s">
        <v>74</v>
      </c>
      <c r="AE51" t="s">
        <v>74</v>
      </c>
      <c r="AF51" t="s">
        <v>74</v>
      </c>
      <c r="AG51" t="s">
        <v>74</v>
      </c>
      <c r="AH51" t="s">
        <v>74</v>
      </c>
      <c r="AI51" t="s">
        <v>74</v>
      </c>
      <c r="AJ51" t="s">
        <v>74</v>
      </c>
      <c r="AK51" t="s">
        <v>74</v>
      </c>
      <c r="AL51" t="s">
        <v>74</v>
      </c>
      <c r="AM51" t="s">
        <v>74</v>
      </c>
      <c r="AN51" t="s">
        <v>74</v>
      </c>
      <c r="AO51" t="s">
        <v>578</v>
      </c>
      <c r="AP51" t="s">
        <v>74</v>
      </c>
      <c r="AQ51" t="s">
        <v>74</v>
      </c>
      <c r="AR51" t="s">
        <v>74</v>
      </c>
      <c r="AS51" t="s">
        <v>74</v>
      </c>
      <c r="AT51" t="s">
        <v>579</v>
      </c>
      <c r="AU51">
        <v>2025</v>
      </c>
      <c r="AV51">
        <v>14</v>
      </c>
      <c r="AW51">
        <v>2</v>
      </c>
      <c r="AX51" t="s">
        <v>74</v>
      </c>
      <c r="AY51" t="s">
        <v>74</v>
      </c>
      <c r="AZ51" t="s">
        <v>74</v>
      </c>
      <c r="BA51" t="s">
        <v>74</v>
      </c>
      <c r="BB51">
        <v>343</v>
      </c>
      <c r="BC51">
        <v>362</v>
      </c>
      <c r="BD51" t="s">
        <v>74</v>
      </c>
      <c r="BE51" t="s">
        <v>580</v>
      </c>
      <c r="BF51" t="str">
        <f>HYPERLINK("http://dx.doi.org/10.1021/acssynbio.4c00672","http://dx.doi.org/10.1021/acssynbio.4c00672")</f>
        <v>http://dx.doi.org/10.1021/acssynbio.4c00672</v>
      </c>
      <c r="BG51" t="s">
        <v>74</v>
      </c>
      <c r="BH51" t="s">
        <v>198</v>
      </c>
      <c r="BI51" t="s">
        <v>74</v>
      </c>
      <c r="BJ51" t="s">
        <v>74</v>
      </c>
      <c r="BK51" t="s">
        <v>74</v>
      </c>
      <c r="BL51" t="s">
        <v>74</v>
      </c>
      <c r="BM51" t="s">
        <v>74</v>
      </c>
      <c r="BN51">
        <v>39883596</v>
      </c>
      <c r="BO51" t="s">
        <v>74</v>
      </c>
      <c r="BP51" t="s">
        <v>74</v>
      </c>
      <c r="BQ51" t="s">
        <v>74</v>
      </c>
      <c r="BR51" t="s">
        <v>74</v>
      </c>
      <c r="BS51" t="s">
        <v>581</v>
      </c>
      <c r="BT51" t="str">
        <f>HYPERLINK("https%3A%2F%2Fwww.webofscience.com%2Fwos%2Fwoscc%2Ffull-record%2FWOS:001409942800001","View Full Record in Web of Science")</f>
        <v>View Full Record in Web of Science</v>
      </c>
    </row>
  </sheetData>
  <phoneticPr fontId="1" type="noConversion"/>
  <pageMargins left="0.75" right="0.75" top="1" bottom="1" header="0.5" footer="0.5"/>
  <pageSetup orientation="portrait" horizontalDpi="300" verticalDpi="300"/>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savedrecs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jiaming guan</dc:creator>
  <cp:lastModifiedBy>jiaming guan</cp:lastModifiedBy>
  <dcterms:created xsi:type="dcterms:W3CDTF">2025-11-18T09:57:36Z</dcterms:created>
  <dcterms:modified xsi:type="dcterms:W3CDTF">2025-11-18T09:57:36Z</dcterms:modified>
</cp:coreProperties>
</file>